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Flujo" sheetId="2" state="visible" r:id="rId4"/>
    <sheet name="Indicadores" sheetId="3" state="visible" r:id="rId5"/>
    <sheet name="Sensibil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<sst xmlns="http://schemas.openxmlformats.org/spreadsheetml/2006/main" count="111" uniqueCount="101">
  <si>
    <t xml:space="preserve">Supuestos — Planta solar para autoconsumo (ficticio)</t>
  </si>
  <si>
    <t xml:space="preserve">Celdas en azul: supuestos (editables). El resto del libro se calcula con fórmulas.</t>
  </si>
  <si>
    <t xml:space="preserve">Tasa de descuento</t>
  </si>
  <si>
    <t xml:space="preserve">Horizonte (años)</t>
  </si>
  <si>
    <t xml:space="preserve">Tasa de impuesto</t>
  </si>
  <si>
    <t xml:space="preserve">Capital de trabajo (% ingresos del año siguiente)</t>
  </si>
  <si>
    <t xml:space="preserve">Moneda</t>
  </si>
  <si>
    <t xml:space="preserve">CLP</t>
  </si>
  <si>
    <t xml:space="preserve">Tipo de evaluación</t>
  </si>
  <si>
    <t xml:space="preserve">privada</t>
  </si>
  <si>
    <t xml:space="preserve">Inversiones</t>
  </si>
  <si>
    <t xml:space="preserve">Concepto</t>
  </si>
  <si>
    <t xml:space="preserve">Año</t>
  </si>
  <si>
    <t xml:space="preserve">Monto</t>
  </si>
  <si>
    <t xml:space="preserve">Paneles e inversores</t>
  </si>
  <si>
    <t xml:space="preserve">Obras e instalación</t>
  </si>
  <si>
    <t xml:space="preserve">Recambio de inversores</t>
  </si>
  <si>
    <t xml:space="preserve">Ingresos</t>
  </si>
  <si>
    <t xml:space="preserve">Año inicio</t>
  </si>
  <si>
    <t xml:space="preserve">Monto anual</t>
  </si>
  <si>
    <t xml:space="preserve">Crecimiento anual</t>
  </si>
  <si>
    <t xml:space="preserve">Ahorro en energía</t>
  </si>
  <si>
    <t xml:space="preserve">Venta de excedentes</t>
  </si>
  <si>
    <t xml:space="preserve">Costos</t>
  </si>
  <si>
    <t xml:space="preserve">Operación y mantención</t>
  </si>
  <si>
    <t xml:space="preserve">Depreciación</t>
  </si>
  <si>
    <t xml:space="preserve">Activo</t>
  </si>
  <si>
    <t xml:space="preserve">Monto depreciable</t>
  </si>
  <si>
    <t xml:space="preserve">Vida útil (años)</t>
  </si>
  <si>
    <t xml:space="preserve">Valor residual: método (valor_libro | monto | ninguno)</t>
  </si>
  <si>
    <t xml:space="preserve">valor_libro</t>
  </si>
  <si>
    <t xml:space="preserve">Valor residual: monto (si el método es 'monto')</t>
  </si>
  <si>
    <t xml:space="preserve">- Año 0 = inversión inicial; flujos al final de cada año.</t>
  </si>
  <si>
    <t xml:space="preserve">- Impuesto = tasa × utilidad antes de impuesto cuando es positiva (sin arrastre de pérdidas: simplificación).</t>
  </si>
  <si>
    <t xml:space="preserve">- Capital de trabajo requerido en el año t = % × ingresos del año t+1; se recupera al final del horizonte.</t>
  </si>
  <si>
    <t xml:space="preserve">- Valor residual al final del horizonte: valor libro (inversión − depreciación acumulada), un monto dado, o ninguno.</t>
  </si>
  <si>
    <t xml:space="preserve">- Evaluación social: usar tasa social y precios sociales según la metodología oficial aplicable (tasa de impuesto 0).</t>
  </si>
  <si>
    <t xml:space="preserve">Flujo de caja</t>
  </si>
  <si>
    <t xml:space="preserve">Ingreso: Ahorro en energía</t>
  </si>
  <si>
    <t xml:space="preserve">Ingreso: Venta de excedentes</t>
  </si>
  <si>
    <t xml:space="preserve">Total ingresos</t>
  </si>
  <si>
    <t xml:space="preserve">Costo: Operación y mantención</t>
  </si>
  <si>
    <t xml:space="preserve">Total costos</t>
  </si>
  <si>
    <t xml:space="preserve">Depreciación: Paneles e inversores</t>
  </si>
  <si>
    <t xml:space="preserve">Depreciación: Obras e instalación</t>
  </si>
  <si>
    <t xml:space="preserve">Total depreciación</t>
  </si>
  <si>
    <t xml:space="preserve">Utilidad antes de impuesto</t>
  </si>
  <si>
    <t xml:space="preserve">Impuesto</t>
  </si>
  <si>
    <t xml:space="preserve">Utilidad neta</t>
  </si>
  <si>
    <t xml:space="preserve">(+) Depreciación</t>
  </si>
  <si>
    <t xml:space="preserve">Inversión: Paneles e inversores</t>
  </si>
  <si>
    <t xml:space="preserve">Inversión: Obras e instalación</t>
  </si>
  <si>
    <t xml:space="preserve">Inversión: Recambio de inversores</t>
  </si>
  <si>
    <t xml:space="preserve">(−) Total inversión</t>
  </si>
  <si>
    <t xml:space="preserve">Capital de trabajo requerido</t>
  </si>
  <si>
    <t xml:space="preserve">(−) Variación capital de trabajo</t>
  </si>
  <si>
    <t xml:space="preserve">(+) Valor residual</t>
  </si>
  <si>
    <t xml:space="preserve">FLUJO NETO</t>
  </si>
  <si>
    <t xml:space="preserve">Flujo acumulado</t>
  </si>
  <si>
    <t xml:space="preserve">Indicadores</t>
  </si>
  <si>
    <t xml:space="preserve">VAN</t>
  </si>
  <si>
    <t xml:space="preserve">TIR</t>
  </si>
  <si>
    <t xml:space="preserve">Período de recuperación (años, flujo acumulado ≥ 0)</t>
  </si>
  <si>
    <t xml:space="preserve">Inversión total</t>
  </si>
  <si>
    <t xml:space="preserve">VAN / inversión</t>
  </si>
  <si>
    <t xml:space="preserve">Sensibilidad del VAN</t>
  </si>
  <si>
    <t xml:space="preserve">Cada fila recalcula el flujo con los factores indicados (variación sobre el caso base).</t>
  </si>
  <si>
    <t xml:space="preserve">Escenario</t>
  </si>
  <si>
    <t xml:space="preserve">Δ ingresos</t>
  </si>
  <si>
    <t xml:space="preserve">Δ costos</t>
  </si>
  <si>
    <t xml:space="preserve">Δ inversión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</si>
  <si>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</si>
  <si>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</si>
  <si>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</si>
  <si>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</si>
  <si>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</si>
  <si>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</si>
  <si>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</si>
  <si>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</si>
  <si>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</si>
  <si>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</si>
  <si>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</si>
  <si>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Base</t>
  </si>
  <si>
    <t xml:space="preserve">ingresos -20%</t>
  </si>
  <si>
    <t xml:space="preserve">ingresos -10%</t>
  </si>
  <si>
    <t xml:space="preserve">ingresos +10%</t>
  </si>
  <si>
    <t xml:space="preserve">ingresos +20%</t>
  </si>
  <si>
    <t xml:space="preserve">costos -20%</t>
  </si>
  <si>
    <t xml:space="preserve">costos -10%</t>
  </si>
  <si>
    <t xml:space="preserve">costos +10%</t>
  </si>
  <si>
    <t xml:space="preserve">costos +20%</t>
  </si>
  <si>
    <t xml:space="preserve">inversion -20%</t>
  </si>
  <si>
    <t xml:space="preserve">inversion -10%</t>
  </si>
  <si>
    <t xml:space="preserve">inversion +10%</t>
  </si>
  <si>
    <t xml:space="preserve">inversion +20%</t>
  </si>
  <si>
    <t xml:space="preserve">Sensibilidad a la tasa de descuento</t>
  </si>
  <si>
    <t xml:space="preserve">Tasa 8.0%</t>
  </si>
  <si>
    <t xml:space="preserve">Tasa 9.0%</t>
  </si>
  <si>
    <t xml:space="preserve">Tasa 10.0%</t>
  </si>
  <si>
    <t xml:space="preserve">Tasa 11.0%</t>
  </si>
  <si>
    <t xml:space="preserve">Tasa 12.0%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</si>
</sst>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#,##0;\(#,##0\);\-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0.1</v>
      </c>
    </row>
    <row r="5" customFormat="false" ht="15" hidden="false" customHeight="false" outlineLevel="0" collapsed="false">
      <c r="A5" s="3" t="s">
        <v>3</v>
      </c>
      <c r="B5" s="5" t="n">
        <v>10</v>
      </c>
    </row>
    <row r="6" customFormat="false" ht="15" hidden="false" customHeight="false" outlineLevel="0" collapsed="false">
      <c r="A6" s="3" t="s">
        <v>4</v>
      </c>
      <c r="B6" s="4" t="n">
        <v>0.27</v>
      </c>
    </row>
    <row r="7" customFormat="false" ht="15" hidden="false" customHeight="false" outlineLevel="0" collapsed="false">
      <c r="A7" s="3" t="s">
        <v>5</v>
      </c>
      <c r="B7" s="4" t="n">
        <v>0.05</v>
      </c>
    </row>
    <row r="8" customFormat="false" ht="15" hidden="false" customHeight="false" outlineLevel="0" collapsed="false">
      <c r="A8" s="3" t="s">
        <v>6</v>
      </c>
      <c r="B8" s="6" t="s">
        <v>7</v>
      </c>
    </row>
    <row r="9" customFormat="false" ht="15" hidden="false" customHeight="false" outlineLevel="0" collapsed="false">
      <c r="A9" s="3" t="s">
        <v>8</v>
      </c>
      <c r="B9" s="6" t="s">
        <v>9</v>
      </c>
    </row>
    <row r="11" customFormat="false" ht="15" hidden="false" customHeight="false" outlineLevel="0" collapsed="false">
      <c r="A11" s="7" t="s">
        <v>10</v>
      </c>
    </row>
    <row r="12" customFormat="false" ht="15" hidden="false" customHeight="false" outlineLevel="0" collapsed="false">
      <c r="A12" s="8" t="s">
        <v>11</v>
      </c>
      <c r="B12" s="8" t="s">
        <v>12</v>
      </c>
      <c r="C12" s="8" t="s">
        <v>13</v>
      </c>
    </row>
    <row r="13" customFormat="false" ht="15" hidden="false" customHeight="false" outlineLevel="0" collapsed="false">
      <c r="A13" s="3" t="s">
        <v>14</v>
      </c>
      <c r="B13" s="5" t="n">
        <v>0</v>
      </c>
      <c r="C13" s="9" t="n">
        <v>180000000</v>
      </c>
    </row>
    <row r="14" customFormat="false" ht="15" hidden="false" customHeight="false" outlineLevel="0" collapsed="false">
      <c r="A14" s="3" t="s">
        <v>15</v>
      </c>
      <c r="B14" s="5" t="n">
        <v>0</v>
      </c>
      <c r="C14" s="9" t="n">
        <v>40000000</v>
      </c>
    </row>
    <row r="15" customFormat="false" ht="15" hidden="false" customHeight="false" outlineLevel="0" collapsed="false">
      <c r="A15" s="3" t="s">
        <v>16</v>
      </c>
      <c r="B15" s="5" t="n">
        <v>6</v>
      </c>
      <c r="C15" s="9" t="n">
        <v>15000000</v>
      </c>
    </row>
    <row r="17" customFormat="false" ht="15" hidden="false" customHeight="false" outlineLevel="0" collapsed="false">
      <c r="A17" s="7" t="s">
        <v>17</v>
      </c>
    </row>
    <row r="18" customFormat="false" ht="15" hidden="false" customHeight="false" outlineLevel="0" collapsed="false">
      <c r="A18" s="8" t="s">
        <v>11</v>
      </c>
      <c r="B18" s="8" t="s">
        <v>18</v>
      </c>
      <c r="C18" s="8" t="s">
        <v>19</v>
      </c>
      <c r="D18" s="8" t="s">
        <v>20</v>
      </c>
    </row>
    <row r="19" customFormat="false" ht="15" hidden="false" customHeight="false" outlineLevel="0" collapsed="false">
      <c r="A19" s="3" t="s">
        <v>21</v>
      </c>
      <c r="B19" s="5" t="n">
        <v>1</v>
      </c>
      <c r="C19" s="9" t="n">
        <v>42000000</v>
      </c>
      <c r="D19" s="4" t="n">
        <v>0.03</v>
      </c>
    </row>
    <row r="20" customFormat="false" ht="15" hidden="false" customHeight="false" outlineLevel="0" collapsed="false">
      <c r="A20" s="3" t="s">
        <v>22</v>
      </c>
      <c r="B20" s="5" t="n">
        <v>1</v>
      </c>
      <c r="C20" s="9" t="n">
        <v>6000000</v>
      </c>
      <c r="D20" s="4" t="n">
        <v>0</v>
      </c>
    </row>
    <row r="22" customFormat="false" ht="15" hidden="false" customHeight="false" outlineLevel="0" collapsed="false">
      <c r="A22" s="7" t="s">
        <v>23</v>
      </c>
    </row>
    <row r="23" customFormat="false" ht="15" hidden="false" customHeight="false" outlineLevel="0" collapsed="false">
      <c r="A23" s="8" t="s">
        <v>11</v>
      </c>
      <c r="B23" s="8" t="s">
        <v>18</v>
      </c>
      <c r="C23" s="8" t="s">
        <v>19</v>
      </c>
      <c r="D23" s="8" t="s">
        <v>20</v>
      </c>
    </row>
    <row r="24" customFormat="false" ht="15" hidden="false" customHeight="false" outlineLevel="0" collapsed="false">
      <c r="A24" s="3" t="s">
        <v>24</v>
      </c>
      <c r="B24" s="5" t="n">
        <v>1</v>
      </c>
      <c r="C24" s="9" t="n">
        <v>5500000</v>
      </c>
      <c r="D24" s="4" t="n">
        <v>0.03</v>
      </c>
    </row>
    <row r="26" customFormat="false" ht="15" hidden="false" customHeight="false" outlineLevel="0" collapsed="false">
      <c r="A26" s="7" t="s">
        <v>25</v>
      </c>
    </row>
    <row r="27" customFormat="false" ht="15" hidden="false" customHeight="false" outlineLevel="0" collapsed="false">
      <c r="A27" s="8" t="s">
        <v>26</v>
      </c>
      <c r="B27" s="8" t="s">
        <v>27</v>
      </c>
      <c r="C27" s="8" t="s">
        <v>28</v>
      </c>
    </row>
    <row r="28" customFormat="false" ht="15" hidden="false" customHeight="false" outlineLevel="0" collapsed="false">
      <c r="A28" s="3" t="s">
        <v>14</v>
      </c>
      <c r="B28" s="9" t="n">
        <v>180000000</v>
      </c>
      <c r="C28" s="5" t="n">
        <v>10</v>
      </c>
    </row>
    <row r="29" customFormat="false" ht="15" hidden="false" customHeight="false" outlineLevel="0" collapsed="false">
      <c r="A29" s="3" t="s">
        <v>15</v>
      </c>
      <c r="B29" s="9" t="n">
        <v>40000000</v>
      </c>
      <c r="C29" s="5" t="n">
        <v>20</v>
      </c>
    </row>
    <row r="31" customFormat="false" ht="15" hidden="false" customHeight="false" outlineLevel="0" collapsed="false">
      <c r="A31" s="3" t="s">
        <v>29</v>
      </c>
      <c r="B31" s="6" t="s">
        <v>30</v>
      </c>
    </row>
    <row r="32" customFormat="false" ht="15" hidden="false" customHeight="false" outlineLevel="0" collapsed="false">
      <c r="A32" s="3" t="s">
        <v>31</v>
      </c>
      <c r="B32" s="9" t="n">
        <v>0</v>
      </c>
    </row>
    <row r="34" customFormat="false" ht="15" hidden="false" customHeight="false" outlineLevel="0" collapsed="false">
      <c r="A34" s="2" t="s">
        <v>32</v>
      </c>
    </row>
    <row r="35" customFormat="false" ht="15" hidden="false" customHeight="false" outlineLevel="0" collapsed="false">
      <c r="A35" s="2" t="s">
        <v>33</v>
      </c>
    </row>
    <row r="36" customFormat="false" ht="15" hidden="false" customHeight="false" outlineLevel="0" collapsed="false">
      <c r="A36" s="2" t="s">
        <v>34</v>
      </c>
    </row>
    <row r="37" customFormat="false" ht="15" hidden="false" customHeight="false" outlineLevel="0" collapsed="false">
      <c r="A37" s="2" t="s">
        <v>35</v>
      </c>
    </row>
    <row r="38" customFormat="false" ht="15" hidden="false" customHeight="false" outlineLevel="0" collapsed="false">
      <c r="A38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4"/>
  </cols>
  <sheetData>
    <row r="1" customFormat="false" ht="16.15" hidden="false" customHeight="false" outlineLevel="0" collapsed="false">
      <c r="A1" s="1" t="s">
        <v>37</v>
      </c>
    </row>
    <row r="3" customFormat="false" ht="15" hidden="false" customHeight="false" outlineLevel="0" collapsed="false">
      <c r="A3" s="8" t="s">
        <v>11</v>
      </c>
      <c r="B3" s="10" t="n">
        <v>0</v>
      </c>
      <c r="C3" s="10" t="n">
        <v>1</v>
      </c>
      <c r="D3" s="10" t="n">
        <v>2</v>
      </c>
      <c r="E3" s="10" t="n">
        <v>3</v>
      </c>
      <c r="F3" s="10" t="n">
        <v>4</v>
      </c>
      <c r="G3" s="10" t="n">
        <v>5</v>
      </c>
      <c r="H3" s="10" t="n">
        <v>6</v>
      </c>
      <c r="I3" s="10" t="n">
        <v>7</v>
      </c>
      <c r="J3" s="10" t="n">
        <v>8</v>
      </c>
      <c r="K3" s="10" t="n">
        <v>9</v>
      </c>
      <c r="L3" s="10" t="n">
        <v>10</v>
      </c>
    </row>
    <row r="4" customFormat="false" ht="15" hidden="false" customHeight="false" outlineLevel="0" collapsed="false">
      <c r="A4" s="3" t="s">
        <v>38</v>
      </c>
      <c r="B4" s="11" t="n">
        <f aca="false">IF(B$3&gt;=Supuestos!$B$19,Supuestos!$C$19*(1+Supuestos!$D$19)^(B$3-Supuestos!$B$19),0)</f>
        <v>0</v>
      </c>
      <c r="C4" s="11" t="n">
        <f aca="false">IF(C$3&gt;=Supuestos!$B$19,Supuestos!$C$19*(1+Supuestos!$D$19)^(C$3-Supuestos!$B$19),0)</f>
        <v>42000000</v>
      </c>
      <c r="D4" s="11" t="n">
        <f aca="false">IF(D$3&gt;=Supuestos!$B$19,Supuestos!$C$19*(1+Supuestos!$D$19)^(D$3-Supuestos!$B$19),0)</f>
        <v>43260000</v>
      </c>
      <c r="E4" s="11" t="n">
        <f aca="false">IF(E$3&gt;=Supuestos!$B$19,Supuestos!$C$19*(1+Supuestos!$D$19)^(E$3-Supuestos!$B$19),0)</f>
        <v>44557800</v>
      </c>
      <c r="F4" s="11" t="n">
        <f aca="false">IF(F$3&gt;=Supuestos!$B$19,Supuestos!$C$19*(1+Supuestos!$D$19)^(F$3-Supuestos!$B$19),0)</f>
        <v>45894534</v>
      </c>
      <c r="G4" s="11" t="n">
        <f aca="false">IF(G$3&gt;=Supuestos!$B$19,Supuestos!$C$19*(1+Supuestos!$D$19)^(G$3-Supuestos!$B$19),0)</f>
        <v>47271370.02</v>
      </c>
      <c r="H4" s="11" t="n">
        <f aca="false">IF(H$3&gt;=Supuestos!$B$19,Supuestos!$C$19*(1+Supuestos!$D$19)^(H$3-Supuestos!$B$19),0)</f>
        <v>48689511.1206</v>
      </c>
      <c r="I4" s="11" t="n">
        <f aca="false">IF(I$3&gt;=Supuestos!$B$19,Supuestos!$C$19*(1+Supuestos!$D$19)^(I$3-Supuestos!$B$19),0)</f>
        <v>50150196.454218</v>
      </c>
      <c r="J4" s="11" t="n">
        <f aca="false">IF(J$3&gt;=Supuestos!$B$19,Supuestos!$C$19*(1+Supuestos!$D$19)^(J$3-Supuestos!$B$19),0)</f>
        <v>51654702.3478446</v>
      </c>
      <c r="K4" s="11" t="n">
        <f aca="false">IF(K$3&gt;=Supuestos!$B$19,Supuestos!$C$19*(1+Supuestos!$D$19)^(K$3-Supuestos!$B$19),0)</f>
        <v>53204343.4182799</v>
      </c>
      <c r="L4" s="11" t="n">
        <f aca="false">IF(L$3&gt;=Supuestos!$B$19,Supuestos!$C$19*(1+Supuestos!$D$19)^(L$3-Supuestos!$B$19),0)</f>
        <v>54800473.7208283</v>
      </c>
    </row>
    <row r="5" customFormat="false" ht="15" hidden="false" customHeight="false" outlineLevel="0" collapsed="false">
      <c r="A5" s="3" t="s">
        <v>39</v>
      </c>
      <c r="B5" s="11" t="n">
        <f aca="false">IF(B$3&gt;=Supuestos!$B$20,Supuestos!$C$20*(1+Supuestos!$D$20)^(B$3-Supuestos!$B$20),0)</f>
        <v>0</v>
      </c>
      <c r="C5" s="11" t="n">
        <f aca="false">IF(C$3&gt;=Supuestos!$B$20,Supuestos!$C$20*(1+Supuestos!$D$20)^(C$3-Supuestos!$B$20),0)</f>
        <v>6000000</v>
      </c>
      <c r="D5" s="11" t="n">
        <f aca="false">IF(D$3&gt;=Supuestos!$B$20,Supuestos!$C$20*(1+Supuestos!$D$20)^(D$3-Supuestos!$B$20),0)</f>
        <v>6000000</v>
      </c>
      <c r="E5" s="11" t="n">
        <f aca="false">IF(E$3&gt;=Supuestos!$B$20,Supuestos!$C$20*(1+Supuestos!$D$20)^(E$3-Supuestos!$B$20),0)</f>
        <v>6000000</v>
      </c>
      <c r="F5" s="11" t="n">
        <f aca="false">IF(F$3&gt;=Supuestos!$B$20,Supuestos!$C$20*(1+Supuestos!$D$20)^(F$3-Supuestos!$B$20),0)</f>
        <v>6000000</v>
      </c>
      <c r="G5" s="11" t="n">
        <f aca="false">IF(G$3&gt;=Supuestos!$B$20,Supuestos!$C$20*(1+Supuestos!$D$20)^(G$3-Supuestos!$B$20),0)</f>
        <v>6000000</v>
      </c>
      <c r="H5" s="11" t="n">
        <f aca="false">IF(H$3&gt;=Supuestos!$B$20,Supuestos!$C$20*(1+Supuestos!$D$20)^(H$3-Supuestos!$B$20),0)</f>
        <v>6000000</v>
      </c>
      <c r="I5" s="11" t="n">
        <f aca="false">IF(I$3&gt;=Supuestos!$B$20,Supuestos!$C$20*(1+Supuestos!$D$20)^(I$3-Supuestos!$B$20),0)</f>
        <v>6000000</v>
      </c>
      <c r="J5" s="11" t="n">
        <f aca="false">IF(J$3&gt;=Supuestos!$B$20,Supuestos!$C$20*(1+Supuestos!$D$20)^(J$3-Supuestos!$B$20),0)</f>
        <v>6000000</v>
      </c>
      <c r="K5" s="11" t="n">
        <f aca="false">IF(K$3&gt;=Supuestos!$B$20,Supuestos!$C$20*(1+Supuestos!$D$20)^(K$3-Supuestos!$B$20),0)</f>
        <v>6000000</v>
      </c>
      <c r="L5" s="11" t="n">
        <f aca="false">IF(L$3&gt;=Supuestos!$B$20,Supuestos!$C$20*(1+Supuestos!$D$20)^(L$3-Supuestos!$B$20),0)</f>
        <v>6000000</v>
      </c>
    </row>
    <row r="6" customFormat="false" ht="15" hidden="false" customHeight="false" outlineLevel="0" collapsed="false">
      <c r="A6" s="12" t="s">
        <v>40</v>
      </c>
      <c r="B6" s="13" t="n">
        <f aca="false">SUM(B4:B5)</f>
        <v>0</v>
      </c>
      <c r="C6" s="13" t="n">
        <f aca="false">SUM(C4:C5)</f>
        <v>48000000</v>
      </c>
      <c r="D6" s="13" t="n">
        <f aca="false">SUM(D4:D5)</f>
        <v>49260000</v>
      </c>
      <c r="E6" s="13" t="n">
        <f aca="false">SUM(E4:E5)</f>
        <v>50557800</v>
      </c>
      <c r="F6" s="13" t="n">
        <f aca="false">SUM(F4:F5)</f>
        <v>51894534</v>
      </c>
      <c r="G6" s="13" t="n">
        <f aca="false">SUM(G4:G5)</f>
        <v>53271370.02</v>
      </c>
      <c r="H6" s="13" t="n">
        <f aca="false">SUM(H4:H5)</f>
        <v>54689511.1206</v>
      </c>
      <c r="I6" s="13" t="n">
        <f aca="false">SUM(I4:I5)</f>
        <v>56150196.454218</v>
      </c>
      <c r="J6" s="13" t="n">
        <f aca="false">SUM(J4:J5)</f>
        <v>57654702.3478446</v>
      </c>
      <c r="K6" s="13" t="n">
        <f aca="false">SUM(K4:K5)</f>
        <v>59204343.4182799</v>
      </c>
      <c r="L6" s="13" t="n">
        <f aca="false">SUM(L4:L5)</f>
        <v>60800473.7208283</v>
      </c>
    </row>
    <row r="7" customFormat="false" ht="15" hidden="false" customHeight="false" outlineLevel="0" collapsed="false">
      <c r="A7" s="3" t="s">
        <v>41</v>
      </c>
      <c r="B7" s="11" t="n">
        <f aca="false">IF(B$3&gt;=Supuestos!$B$24,Supuestos!$C$24*(1+Supuestos!$D$24)^(B$3-Supuestos!$B$24),0)</f>
        <v>0</v>
      </c>
      <c r="C7" s="11" t="n">
        <f aca="false">IF(C$3&gt;=Supuestos!$B$24,Supuestos!$C$24*(1+Supuestos!$D$24)^(C$3-Supuestos!$B$24),0)</f>
        <v>5500000</v>
      </c>
      <c r="D7" s="11" t="n">
        <f aca="false">IF(D$3&gt;=Supuestos!$B$24,Supuestos!$C$24*(1+Supuestos!$D$24)^(D$3-Supuestos!$B$24),0)</f>
        <v>5665000</v>
      </c>
      <c r="E7" s="11" t="n">
        <f aca="false">IF(E$3&gt;=Supuestos!$B$24,Supuestos!$C$24*(1+Supuestos!$D$24)^(E$3-Supuestos!$B$24),0)</f>
        <v>5834950</v>
      </c>
      <c r="F7" s="11" t="n">
        <f aca="false">IF(F$3&gt;=Supuestos!$B$24,Supuestos!$C$24*(1+Supuestos!$D$24)^(F$3-Supuestos!$B$24),0)</f>
        <v>6009998.5</v>
      </c>
      <c r="G7" s="11" t="n">
        <f aca="false">IF(G$3&gt;=Supuestos!$B$24,Supuestos!$C$24*(1+Supuestos!$D$24)^(G$3-Supuestos!$B$24),0)</f>
        <v>6190298.455</v>
      </c>
      <c r="H7" s="11" t="n">
        <f aca="false">IF(H$3&gt;=Supuestos!$B$24,Supuestos!$C$24*(1+Supuestos!$D$24)^(H$3-Supuestos!$B$24),0)</f>
        <v>6376007.40865</v>
      </c>
      <c r="I7" s="11" t="n">
        <f aca="false">IF(I$3&gt;=Supuestos!$B$24,Supuestos!$C$24*(1+Supuestos!$D$24)^(I$3-Supuestos!$B$24),0)</f>
        <v>6567287.6309095</v>
      </c>
      <c r="J7" s="11" t="n">
        <f aca="false">IF(J$3&gt;=Supuestos!$B$24,Supuestos!$C$24*(1+Supuestos!$D$24)^(J$3-Supuestos!$B$24),0)</f>
        <v>6764306.25983679</v>
      </c>
      <c r="K7" s="11" t="n">
        <f aca="false">IF(K$3&gt;=Supuestos!$B$24,Supuestos!$C$24*(1+Supuestos!$D$24)^(K$3-Supuestos!$B$24),0)</f>
        <v>6967235.44763189</v>
      </c>
      <c r="L7" s="11" t="n">
        <f aca="false">IF(L$3&gt;=Supuestos!$B$24,Supuestos!$C$24*(1+Supuestos!$D$24)^(L$3-Supuestos!$B$24),0)</f>
        <v>7176252.51106085</v>
      </c>
    </row>
    <row r="8" customFormat="false" ht="15" hidden="false" customHeight="false" outlineLevel="0" collapsed="false">
      <c r="A8" s="12" t="s">
        <v>42</v>
      </c>
      <c r="B8" s="13" t="n">
        <f aca="false">SUM(B7:B7)</f>
        <v>0</v>
      </c>
      <c r="C8" s="13" t="n">
        <f aca="false">SUM(C7:C7)</f>
        <v>5500000</v>
      </c>
      <c r="D8" s="13" t="n">
        <f aca="false">SUM(D7:D7)</f>
        <v>5665000</v>
      </c>
      <c r="E8" s="13" t="n">
        <f aca="false">SUM(E7:E7)</f>
        <v>5834950</v>
      </c>
      <c r="F8" s="13" t="n">
        <f aca="false">SUM(F7:F7)</f>
        <v>6009998.5</v>
      </c>
      <c r="G8" s="13" t="n">
        <f aca="false">SUM(G7:G7)</f>
        <v>6190298.455</v>
      </c>
      <c r="H8" s="13" t="n">
        <f aca="false">SUM(H7:H7)</f>
        <v>6376007.40865</v>
      </c>
      <c r="I8" s="13" t="n">
        <f aca="false">SUM(I7:I7)</f>
        <v>6567287.6309095</v>
      </c>
      <c r="J8" s="13" t="n">
        <f aca="false">SUM(J7:J7)</f>
        <v>6764306.25983679</v>
      </c>
      <c r="K8" s="13" t="n">
        <f aca="false">SUM(K7:K7)</f>
        <v>6967235.44763189</v>
      </c>
      <c r="L8" s="13" t="n">
        <f aca="false">SUM(L7:L7)</f>
        <v>7176252.51106085</v>
      </c>
    </row>
    <row r="9" customFormat="false" ht="15" hidden="false" customHeight="false" outlineLevel="0" collapsed="false">
      <c r="A9" s="3" t="s">
        <v>43</v>
      </c>
      <c r="B9" s="11" t="n">
        <f aca="false">IF(AND(B$3&gt;=1,B$3&lt;=Supuestos!$C$28),Supuestos!$B$28/Supuestos!$C$28,0)</f>
        <v>0</v>
      </c>
      <c r="C9" s="11" t="n">
        <f aca="false">IF(AND(C$3&gt;=1,C$3&lt;=Supuestos!$C$28),Supuestos!$B$28/Supuestos!$C$28,0)</f>
        <v>18000000</v>
      </c>
      <c r="D9" s="11" t="n">
        <f aca="false">IF(AND(D$3&gt;=1,D$3&lt;=Supuestos!$C$28),Supuestos!$B$28/Supuestos!$C$28,0)</f>
        <v>18000000</v>
      </c>
      <c r="E9" s="11" t="n">
        <f aca="false">IF(AND(E$3&gt;=1,E$3&lt;=Supuestos!$C$28),Supuestos!$B$28/Supuestos!$C$28,0)</f>
        <v>18000000</v>
      </c>
      <c r="F9" s="11" t="n">
        <f aca="false">IF(AND(F$3&gt;=1,F$3&lt;=Supuestos!$C$28),Supuestos!$B$28/Supuestos!$C$28,0)</f>
        <v>18000000</v>
      </c>
      <c r="G9" s="11" t="n">
        <f aca="false">IF(AND(G$3&gt;=1,G$3&lt;=Supuestos!$C$28),Supuestos!$B$28/Supuestos!$C$28,0)</f>
        <v>18000000</v>
      </c>
      <c r="H9" s="11" t="n">
        <f aca="false">IF(AND(H$3&gt;=1,H$3&lt;=Supuestos!$C$28),Supuestos!$B$28/Supuestos!$C$28,0)</f>
        <v>18000000</v>
      </c>
      <c r="I9" s="11" t="n">
        <f aca="false">IF(AND(I$3&gt;=1,I$3&lt;=Supuestos!$C$28),Supuestos!$B$28/Supuestos!$C$28,0)</f>
        <v>18000000</v>
      </c>
      <c r="J9" s="11" t="n">
        <f aca="false">IF(AND(J$3&gt;=1,J$3&lt;=Supuestos!$C$28),Supuestos!$B$28/Supuestos!$C$28,0)</f>
        <v>18000000</v>
      </c>
      <c r="K9" s="11" t="n">
        <f aca="false">IF(AND(K$3&gt;=1,K$3&lt;=Supuestos!$C$28),Supuestos!$B$28/Supuestos!$C$28,0)</f>
        <v>18000000</v>
      </c>
      <c r="L9" s="11" t="n">
        <f aca="false">IF(AND(L$3&gt;=1,L$3&lt;=Supuestos!$C$28),Supuestos!$B$28/Supuestos!$C$28,0)</f>
        <v>18000000</v>
      </c>
    </row>
    <row r="10" customFormat="false" ht="15" hidden="false" customHeight="false" outlineLevel="0" collapsed="false">
      <c r="A10" s="3" t="s">
        <v>44</v>
      </c>
      <c r="B10" s="11" t="n">
        <f aca="false">IF(AND(B$3&gt;=1,B$3&lt;=Supuestos!$C$29),Supuestos!$B$29/Supuestos!$C$29,0)</f>
        <v>0</v>
      </c>
      <c r="C10" s="11" t="n">
        <f aca="false">IF(AND(C$3&gt;=1,C$3&lt;=Supuestos!$C$29),Supuestos!$B$29/Supuestos!$C$29,0)</f>
        <v>2000000</v>
      </c>
      <c r="D10" s="11" t="n">
        <f aca="false">IF(AND(D$3&gt;=1,D$3&lt;=Supuestos!$C$29),Supuestos!$B$29/Supuestos!$C$29,0)</f>
        <v>2000000</v>
      </c>
      <c r="E10" s="11" t="n">
        <f aca="false">IF(AND(E$3&gt;=1,E$3&lt;=Supuestos!$C$29),Supuestos!$B$29/Supuestos!$C$29,0)</f>
        <v>2000000</v>
      </c>
      <c r="F10" s="11" t="n">
        <f aca="false">IF(AND(F$3&gt;=1,F$3&lt;=Supuestos!$C$29),Supuestos!$B$29/Supuestos!$C$29,0)</f>
        <v>2000000</v>
      </c>
      <c r="G10" s="11" t="n">
        <f aca="false">IF(AND(G$3&gt;=1,G$3&lt;=Supuestos!$C$29),Supuestos!$B$29/Supuestos!$C$29,0)</f>
        <v>2000000</v>
      </c>
      <c r="H10" s="11" t="n">
        <f aca="false">IF(AND(H$3&gt;=1,H$3&lt;=Supuestos!$C$29),Supuestos!$B$29/Supuestos!$C$29,0)</f>
        <v>2000000</v>
      </c>
      <c r="I10" s="11" t="n">
        <f aca="false">IF(AND(I$3&gt;=1,I$3&lt;=Supuestos!$C$29),Supuestos!$B$29/Supuestos!$C$29,0)</f>
        <v>2000000</v>
      </c>
      <c r="J10" s="11" t="n">
        <f aca="false">IF(AND(J$3&gt;=1,J$3&lt;=Supuestos!$C$29),Supuestos!$B$29/Supuestos!$C$29,0)</f>
        <v>2000000</v>
      </c>
      <c r="K10" s="11" t="n">
        <f aca="false">IF(AND(K$3&gt;=1,K$3&lt;=Supuestos!$C$29),Supuestos!$B$29/Supuestos!$C$29,0)</f>
        <v>2000000</v>
      </c>
      <c r="L10" s="11" t="n">
        <f aca="false">IF(AND(L$3&gt;=1,L$3&lt;=Supuestos!$C$29),Supuestos!$B$29/Supuestos!$C$29,0)</f>
        <v>2000000</v>
      </c>
    </row>
    <row r="11" customFormat="false" ht="15" hidden="false" customHeight="false" outlineLevel="0" collapsed="false">
      <c r="A11" s="12" t="s">
        <v>45</v>
      </c>
      <c r="B11" s="13" t="n">
        <f aca="false">SUM(B9:B10)</f>
        <v>0</v>
      </c>
      <c r="C11" s="13" t="n">
        <f aca="false">SUM(C9:C10)</f>
        <v>20000000</v>
      </c>
      <c r="D11" s="13" t="n">
        <f aca="false">SUM(D9:D10)</f>
        <v>20000000</v>
      </c>
      <c r="E11" s="13" t="n">
        <f aca="false">SUM(E9:E10)</f>
        <v>20000000</v>
      </c>
      <c r="F11" s="13" t="n">
        <f aca="false">SUM(F9:F10)</f>
        <v>20000000</v>
      </c>
      <c r="G11" s="13" t="n">
        <f aca="false">SUM(G9:G10)</f>
        <v>20000000</v>
      </c>
      <c r="H11" s="13" t="n">
        <f aca="false">SUM(H9:H10)</f>
        <v>20000000</v>
      </c>
      <c r="I11" s="13" t="n">
        <f aca="false">SUM(I9:I10)</f>
        <v>20000000</v>
      </c>
      <c r="J11" s="13" t="n">
        <f aca="false">SUM(J9:J10)</f>
        <v>20000000</v>
      </c>
      <c r="K11" s="13" t="n">
        <f aca="false">SUM(K9:K10)</f>
        <v>20000000</v>
      </c>
      <c r="L11" s="13" t="n">
        <f aca="false">SUM(L9:L10)</f>
        <v>20000000</v>
      </c>
    </row>
    <row r="12" customFormat="false" ht="15" hidden="false" customHeight="false" outlineLevel="0" collapsed="false">
      <c r="A12" s="7" t="s">
        <v>46</v>
      </c>
      <c r="B12" s="14" t="n">
        <f aca="false">B6-B8-B11</f>
        <v>0</v>
      </c>
      <c r="C12" s="14" t="n">
        <f aca="false">C6-C8-C11</f>
        <v>22500000</v>
      </c>
      <c r="D12" s="14" t="n">
        <f aca="false">D6-D8-D11</f>
        <v>23595000</v>
      </c>
      <c r="E12" s="14" t="n">
        <f aca="false">E6-E8-E11</f>
        <v>24722850</v>
      </c>
      <c r="F12" s="14" t="n">
        <f aca="false">F6-F8-F11</f>
        <v>25884535.5</v>
      </c>
      <c r="G12" s="14" t="n">
        <f aca="false">G6-G8-G11</f>
        <v>27081071.565</v>
      </c>
      <c r="H12" s="14" t="n">
        <f aca="false">H6-H8-H11</f>
        <v>28313503.71195</v>
      </c>
      <c r="I12" s="14" t="n">
        <f aca="false">I6-I8-I11</f>
        <v>29582908.8233085</v>
      </c>
      <c r="J12" s="14" t="n">
        <f aca="false">J6-J8-J11</f>
        <v>30890396.0880078</v>
      </c>
      <c r="K12" s="14" t="n">
        <f aca="false">K6-K8-K11</f>
        <v>32237107.970648</v>
      </c>
      <c r="L12" s="14" t="n">
        <f aca="false">L6-L8-L11</f>
        <v>33624221.2097674</v>
      </c>
    </row>
    <row r="13" customFormat="false" ht="15" hidden="false" customHeight="false" outlineLevel="0" collapsed="false">
      <c r="A13" s="3" t="s">
        <v>47</v>
      </c>
      <c r="B13" s="11" t="n">
        <f aca="false">MAX(0,B12)*Supuestos!$B$6</f>
        <v>0</v>
      </c>
      <c r="C13" s="11" t="n">
        <f aca="false">MAX(0,C12)*Supuestos!$B$6</f>
        <v>6075000</v>
      </c>
      <c r="D13" s="11" t="n">
        <f aca="false">MAX(0,D12)*Supuestos!$B$6</f>
        <v>6370650</v>
      </c>
      <c r="E13" s="11" t="n">
        <f aca="false">MAX(0,E12)*Supuestos!$B$6</f>
        <v>6675169.5</v>
      </c>
      <c r="F13" s="11" t="n">
        <f aca="false">MAX(0,F12)*Supuestos!$B$6</f>
        <v>6988824.585</v>
      </c>
      <c r="G13" s="11" t="n">
        <f aca="false">MAX(0,G12)*Supuestos!$B$6</f>
        <v>7311889.32255</v>
      </c>
      <c r="H13" s="11" t="n">
        <f aca="false">MAX(0,H12)*Supuestos!$B$6</f>
        <v>7644646.0022265</v>
      </c>
      <c r="I13" s="11" t="n">
        <f aca="false">MAX(0,I12)*Supuestos!$B$6</f>
        <v>7987385.3822933</v>
      </c>
      <c r="J13" s="11" t="n">
        <f aca="false">MAX(0,J12)*Supuestos!$B$6</f>
        <v>8340406.9437621</v>
      </c>
      <c r="K13" s="11" t="n">
        <f aca="false">MAX(0,K12)*Supuestos!$B$6</f>
        <v>8704019.15207496</v>
      </c>
      <c r="L13" s="11" t="n">
        <f aca="false">MAX(0,L12)*Supuestos!$B$6</f>
        <v>9078539.72663721</v>
      </c>
    </row>
    <row r="14" customFormat="false" ht="15" hidden="false" customHeight="false" outlineLevel="0" collapsed="false">
      <c r="A14" s="7" t="s">
        <v>48</v>
      </c>
      <c r="B14" s="14" t="n">
        <f aca="false">B12-B13</f>
        <v>0</v>
      </c>
      <c r="C14" s="14" t="n">
        <f aca="false">C12-C13</f>
        <v>16425000</v>
      </c>
      <c r="D14" s="14" t="n">
        <f aca="false">D12-D13</f>
        <v>17224350</v>
      </c>
      <c r="E14" s="14" t="n">
        <f aca="false">E12-E13</f>
        <v>18047680.5</v>
      </c>
      <c r="F14" s="14" t="n">
        <f aca="false">F12-F13</f>
        <v>18895710.915</v>
      </c>
      <c r="G14" s="14" t="n">
        <f aca="false">G12-G13</f>
        <v>19769182.24245</v>
      </c>
      <c r="H14" s="14" t="n">
        <f aca="false">H12-H13</f>
        <v>20668857.7097235</v>
      </c>
      <c r="I14" s="14" t="n">
        <f aca="false">I12-I13</f>
        <v>21595523.4410152</v>
      </c>
      <c r="J14" s="14" t="n">
        <f aca="false">J12-J13</f>
        <v>22549989.1442457</v>
      </c>
      <c r="K14" s="14" t="n">
        <f aca="false">K12-K13</f>
        <v>23533088.818573</v>
      </c>
      <c r="L14" s="14" t="n">
        <f aca="false">L12-L13</f>
        <v>24545681.4831302</v>
      </c>
    </row>
    <row r="15" customFormat="false" ht="15" hidden="false" customHeight="false" outlineLevel="0" collapsed="false">
      <c r="A15" s="3" t="s">
        <v>49</v>
      </c>
      <c r="B15" s="11" t="n">
        <f aca="false">B11</f>
        <v>0</v>
      </c>
      <c r="C15" s="11" t="n">
        <f aca="false">C11</f>
        <v>20000000</v>
      </c>
      <c r="D15" s="11" t="n">
        <f aca="false">D11</f>
        <v>20000000</v>
      </c>
      <c r="E15" s="11" t="n">
        <f aca="false">E11</f>
        <v>20000000</v>
      </c>
      <c r="F15" s="11" t="n">
        <f aca="false">F11</f>
        <v>20000000</v>
      </c>
      <c r="G15" s="11" t="n">
        <f aca="false">G11</f>
        <v>20000000</v>
      </c>
      <c r="H15" s="11" t="n">
        <f aca="false">H11</f>
        <v>20000000</v>
      </c>
      <c r="I15" s="11" t="n">
        <f aca="false">I11</f>
        <v>20000000</v>
      </c>
      <c r="J15" s="11" t="n">
        <f aca="false">J11</f>
        <v>20000000</v>
      </c>
      <c r="K15" s="11" t="n">
        <f aca="false">K11</f>
        <v>20000000</v>
      </c>
      <c r="L15" s="11" t="n">
        <f aca="false">L11</f>
        <v>20000000</v>
      </c>
    </row>
    <row r="16" customFormat="false" ht="15" hidden="false" customHeight="false" outlineLevel="0" collapsed="false">
      <c r="A16" s="3" t="s">
        <v>50</v>
      </c>
      <c r="B16" s="11" t="n">
        <f aca="false">IF(B$3=Supuestos!$B$13,Supuestos!$C$13,0)</f>
        <v>180000000</v>
      </c>
      <c r="C16" s="11" t="n">
        <f aca="false">IF(C$3=Supuestos!$B$13,Supuestos!$C$13,0)</f>
        <v>0</v>
      </c>
      <c r="D16" s="11" t="n">
        <f aca="false">IF(D$3=Supuestos!$B$13,Supuestos!$C$13,0)</f>
        <v>0</v>
      </c>
      <c r="E16" s="11" t="n">
        <f aca="false">IF(E$3=Supuestos!$B$13,Supuestos!$C$13,0)</f>
        <v>0</v>
      </c>
      <c r="F16" s="11" t="n">
        <f aca="false">IF(F$3=Supuestos!$B$13,Supuestos!$C$13,0)</f>
        <v>0</v>
      </c>
      <c r="G16" s="11" t="n">
        <f aca="false">IF(G$3=Supuestos!$B$13,Supuestos!$C$13,0)</f>
        <v>0</v>
      </c>
      <c r="H16" s="11" t="n">
        <f aca="false">IF(H$3=Supuestos!$B$13,Supuestos!$C$13,0)</f>
        <v>0</v>
      </c>
      <c r="I16" s="11" t="n">
        <f aca="false">IF(I$3=Supuestos!$B$13,Supuestos!$C$13,0)</f>
        <v>0</v>
      </c>
      <c r="J16" s="11" t="n">
        <f aca="false">IF(J$3=Supuestos!$B$13,Supuestos!$C$13,0)</f>
        <v>0</v>
      </c>
      <c r="K16" s="11" t="n">
        <f aca="false">IF(K$3=Supuestos!$B$13,Supuestos!$C$13,0)</f>
        <v>0</v>
      </c>
      <c r="L16" s="11" t="n">
        <f aca="false">IF(L$3=Supuestos!$B$13,Supuestos!$C$13,0)</f>
        <v>0</v>
      </c>
    </row>
    <row r="17" customFormat="false" ht="15" hidden="false" customHeight="false" outlineLevel="0" collapsed="false">
      <c r="A17" s="3" t="s">
        <v>51</v>
      </c>
      <c r="B17" s="11" t="n">
        <f aca="false">IF(B$3=Supuestos!$B$14,Supuestos!$C$14,0)</f>
        <v>40000000</v>
      </c>
      <c r="C17" s="11" t="n">
        <f aca="false">IF(C$3=Supuestos!$B$14,Supuestos!$C$14,0)</f>
        <v>0</v>
      </c>
      <c r="D17" s="11" t="n">
        <f aca="false">IF(D$3=Supuestos!$B$14,Supuestos!$C$14,0)</f>
        <v>0</v>
      </c>
      <c r="E17" s="11" t="n">
        <f aca="false">IF(E$3=Supuestos!$B$14,Supuestos!$C$14,0)</f>
        <v>0</v>
      </c>
      <c r="F17" s="11" t="n">
        <f aca="false">IF(F$3=Supuestos!$B$14,Supuestos!$C$14,0)</f>
        <v>0</v>
      </c>
      <c r="G17" s="11" t="n">
        <f aca="false">IF(G$3=Supuestos!$B$14,Supuestos!$C$14,0)</f>
        <v>0</v>
      </c>
      <c r="H17" s="11" t="n">
        <f aca="false">IF(H$3=Supuestos!$B$14,Supuestos!$C$14,0)</f>
        <v>0</v>
      </c>
      <c r="I17" s="11" t="n">
        <f aca="false">IF(I$3=Supuestos!$B$14,Supuestos!$C$14,0)</f>
        <v>0</v>
      </c>
      <c r="J17" s="11" t="n">
        <f aca="false">IF(J$3=Supuestos!$B$14,Supuestos!$C$14,0)</f>
        <v>0</v>
      </c>
      <c r="K17" s="11" t="n">
        <f aca="false">IF(K$3=Supuestos!$B$14,Supuestos!$C$14,0)</f>
        <v>0</v>
      </c>
      <c r="L17" s="11" t="n">
        <f aca="false">IF(L$3=Supuestos!$B$14,Supuestos!$C$14,0)</f>
        <v>0</v>
      </c>
    </row>
    <row r="18" customFormat="false" ht="15" hidden="false" customHeight="false" outlineLevel="0" collapsed="false">
      <c r="A18" s="3" t="s">
        <v>52</v>
      </c>
      <c r="B18" s="11" t="n">
        <f aca="false">IF(B$3=Supuestos!$B$15,Supuestos!$C$15,0)</f>
        <v>0</v>
      </c>
      <c r="C18" s="11" t="n">
        <f aca="false">IF(C$3=Supuestos!$B$15,Supuestos!$C$15,0)</f>
        <v>0</v>
      </c>
      <c r="D18" s="11" t="n">
        <f aca="false">IF(D$3=Supuestos!$B$15,Supuestos!$C$15,0)</f>
        <v>0</v>
      </c>
      <c r="E18" s="11" t="n">
        <f aca="false">IF(E$3=Supuestos!$B$15,Supuestos!$C$15,0)</f>
        <v>0</v>
      </c>
      <c r="F18" s="11" t="n">
        <f aca="false">IF(F$3=Supuestos!$B$15,Supuestos!$C$15,0)</f>
        <v>0</v>
      </c>
      <c r="G18" s="11" t="n">
        <f aca="false">IF(G$3=Supuestos!$B$15,Supuestos!$C$15,0)</f>
        <v>0</v>
      </c>
      <c r="H18" s="11" t="n">
        <f aca="false">IF(H$3=Supuestos!$B$15,Supuestos!$C$15,0)</f>
        <v>15000000</v>
      </c>
      <c r="I18" s="11" t="n">
        <f aca="false">IF(I$3=Supuestos!$B$15,Supuestos!$C$15,0)</f>
        <v>0</v>
      </c>
      <c r="J18" s="11" t="n">
        <f aca="false">IF(J$3=Supuestos!$B$15,Supuestos!$C$15,0)</f>
        <v>0</v>
      </c>
      <c r="K18" s="11" t="n">
        <f aca="false">IF(K$3=Supuestos!$B$15,Supuestos!$C$15,0)</f>
        <v>0</v>
      </c>
      <c r="L18" s="11" t="n">
        <f aca="false">IF(L$3=Supuestos!$B$15,Supuestos!$C$15,0)</f>
        <v>0</v>
      </c>
    </row>
    <row r="19" customFormat="false" ht="15" hidden="false" customHeight="false" outlineLevel="0" collapsed="false">
      <c r="A19" s="12" t="s">
        <v>53</v>
      </c>
      <c r="B19" s="13" t="n">
        <f aca="false">SUM(B16:B18)</f>
        <v>220000000</v>
      </c>
      <c r="C19" s="13" t="n">
        <f aca="false">SUM(C16:C18)</f>
        <v>0</v>
      </c>
      <c r="D19" s="13" t="n">
        <f aca="false">SUM(D16:D18)</f>
        <v>0</v>
      </c>
      <c r="E19" s="13" t="n">
        <f aca="false">SUM(E16:E18)</f>
        <v>0</v>
      </c>
      <c r="F19" s="13" t="n">
        <f aca="false">SUM(F16:F18)</f>
        <v>0</v>
      </c>
      <c r="G19" s="13" t="n">
        <f aca="false">SUM(G16:G18)</f>
        <v>0</v>
      </c>
      <c r="H19" s="13" t="n">
        <f aca="false">SUM(H16:H18)</f>
        <v>15000000</v>
      </c>
      <c r="I19" s="13" t="n">
        <f aca="false">SUM(I16:I18)</f>
        <v>0</v>
      </c>
      <c r="J19" s="13" t="n">
        <f aca="false">SUM(J16:J18)</f>
        <v>0</v>
      </c>
      <c r="K19" s="13" t="n">
        <f aca="false">SUM(K16:K18)</f>
        <v>0</v>
      </c>
      <c r="L19" s="13" t="n">
        <f aca="false">SUM(L16:L18)</f>
        <v>0</v>
      </c>
    </row>
    <row r="20" customFormat="false" ht="15" hidden="false" customHeight="false" outlineLevel="0" collapsed="false">
      <c r="A20" s="3" t="s">
        <v>54</v>
      </c>
      <c r="B20" s="11" t="n">
        <f aca="false">Supuestos!$B$7*C6</f>
        <v>2400000</v>
      </c>
      <c r="C20" s="11" t="n">
        <f aca="false">Supuestos!$B$7*D6</f>
        <v>2463000</v>
      </c>
      <c r="D20" s="11" t="n">
        <f aca="false">Supuestos!$B$7*E6</f>
        <v>2527890</v>
      </c>
      <c r="E20" s="11" t="n">
        <f aca="false">Supuestos!$B$7*F6</f>
        <v>2594726.7</v>
      </c>
      <c r="F20" s="11" t="n">
        <f aca="false">Supuestos!$B$7*G6</f>
        <v>2663568.501</v>
      </c>
      <c r="G20" s="11" t="n">
        <f aca="false">Supuestos!$B$7*H6</f>
        <v>2734475.55603</v>
      </c>
      <c r="H20" s="11" t="n">
        <f aca="false">Supuestos!$B$7*I6</f>
        <v>2807509.8227109</v>
      </c>
      <c r="I20" s="11" t="n">
        <f aca="false">Supuestos!$B$7*J6</f>
        <v>2882735.11739223</v>
      </c>
      <c r="J20" s="11" t="n">
        <f aca="false">Supuestos!$B$7*K6</f>
        <v>2960217.17091399</v>
      </c>
      <c r="K20" s="11" t="n">
        <f aca="false">Supuestos!$B$7*L6</f>
        <v>3040023.68604141</v>
      </c>
      <c r="L20" s="11" t="n">
        <f aca="false">0</f>
        <v>0</v>
      </c>
    </row>
    <row r="21" customFormat="false" ht="15" hidden="false" customHeight="false" outlineLevel="0" collapsed="false">
      <c r="A21" s="3" t="s">
        <v>55</v>
      </c>
      <c r="B21" s="11" t="n">
        <f aca="false">B20</f>
        <v>2400000</v>
      </c>
      <c r="C21" s="11" t="n">
        <f aca="false">C20-B20</f>
        <v>63000</v>
      </c>
      <c r="D21" s="11" t="n">
        <f aca="false">D20-C20</f>
        <v>64890</v>
      </c>
      <c r="E21" s="11" t="n">
        <f aca="false">E20-D20</f>
        <v>66836.7000000002</v>
      </c>
      <c r="F21" s="11" t="n">
        <f aca="false">F20-E20</f>
        <v>68841.801</v>
      </c>
      <c r="G21" s="11" t="n">
        <f aca="false">G20-F20</f>
        <v>70907.0550299999</v>
      </c>
      <c r="H21" s="11" t="n">
        <f aca="false">H20-G20</f>
        <v>73034.2666809005</v>
      </c>
      <c r="I21" s="11" t="n">
        <f aca="false">I20-H20</f>
        <v>75225.294681327</v>
      </c>
      <c r="J21" s="11" t="n">
        <f aca="false">J20-I20</f>
        <v>77482.0535217668</v>
      </c>
      <c r="K21" s="11" t="n">
        <f aca="false">K20-J20</f>
        <v>79806.5151274204</v>
      </c>
      <c r="L21" s="11" t="n">
        <f aca="false">L20-K20</f>
        <v>-3040023.68604141</v>
      </c>
    </row>
    <row r="22" customFormat="false" ht="15" hidden="false" customHeight="false" outlineLevel="0" collapsed="false">
      <c r="A22" s="3" t="s">
        <v>56</v>
      </c>
      <c r="B22" s="11" t="n">
        <f aca="false">0</f>
        <v>0</v>
      </c>
      <c r="C22" s="11" t="n">
        <f aca="false">0</f>
        <v>0</v>
      </c>
      <c r="D22" s="11" t="n">
        <f aca="false">0</f>
        <v>0</v>
      </c>
      <c r="E22" s="11" t="n">
        <f aca="false">0</f>
        <v>0</v>
      </c>
      <c r="F22" s="11" t="n">
        <f aca="false">0</f>
        <v>0</v>
      </c>
      <c r="G22" s="11" t="n">
        <f aca="false">0</f>
        <v>0</v>
      </c>
      <c r="H22" s="11" t="n">
        <f aca="false">0</f>
        <v>0</v>
      </c>
      <c r="I22" s="11" t="n">
        <f aca="false">0</f>
        <v>0</v>
      </c>
      <c r="J22" s="11" t="n">
        <f aca="false">0</f>
        <v>0</v>
      </c>
      <c r="K22" s="11" t="n">
        <f aca="false">0</f>
        <v>0</v>
      </c>
      <c r="L22" s="11" t="n">
        <f aca="false">IF(Supuestos!$B$31="valor_libro",SUM($B$19:$L$19)-SUM($C$11:$L$11),IF(Supuestos!$B$31="monto",Supuestos!$B$32,0))</f>
        <v>35000000</v>
      </c>
    </row>
    <row r="23" customFormat="false" ht="15" hidden="false" customHeight="false" outlineLevel="0" collapsed="false">
      <c r="A23" s="12" t="s">
        <v>57</v>
      </c>
      <c r="B23" s="13" t="n">
        <f aca="false">B14+B15-B19-B21+B22</f>
        <v>-222400000</v>
      </c>
      <c r="C23" s="13" t="n">
        <f aca="false">C14+C15-C19-C21+C22</f>
        <v>36362000</v>
      </c>
      <c r="D23" s="13" t="n">
        <f aca="false">D14+D15-D19-D21+D22</f>
        <v>37159460</v>
      </c>
      <c r="E23" s="13" t="n">
        <f aca="false">E14+E15-E19-E21+E22</f>
        <v>37980843.8</v>
      </c>
      <c r="F23" s="13" t="n">
        <f aca="false">F14+F15-F19-F21+F22</f>
        <v>38826869.114</v>
      </c>
      <c r="G23" s="13" t="n">
        <f aca="false">G14+G15-G19-G21+G22</f>
        <v>39698275.18742</v>
      </c>
      <c r="H23" s="13" t="n">
        <f aca="false">H14+H15-H19-H21+H22</f>
        <v>25595823.4430426</v>
      </c>
      <c r="I23" s="13" t="n">
        <f aca="false">I14+I15-I19-I21+I22</f>
        <v>41520298.1463339</v>
      </c>
      <c r="J23" s="13" t="n">
        <f aca="false">J14+J15-J19-J21+J22</f>
        <v>42472507.0907239</v>
      </c>
      <c r="K23" s="13" t="n">
        <f aca="false">K14+K15-K19-K21+K22</f>
        <v>43453282.3034456</v>
      </c>
      <c r="L23" s="13" t="n">
        <f aca="false">L14+L15-L19-L21+L22</f>
        <v>82585705.1691717</v>
      </c>
    </row>
    <row r="24" customFormat="false" ht="15" hidden="false" customHeight="false" outlineLevel="0" collapsed="false">
      <c r="A24" s="3" t="s">
        <v>58</v>
      </c>
      <c r="B24" s="11" t="n">
        <f aca="false">B23</f>
        <v>-222400000</v>
      </c>
      <c r="C24" s="11" t="n">
        <f aca="false">B24+C23</f>
        <v>-186038000</v>
      </c>
      <c r="D24" s="11" t="n">
        <f aca="false">C24+D23</f>
        <v>-148878540</v>
      </c>
      <c r="E24" s="11" t="n">
        <f aca="false">D24+E23</f>
        <v>-110897696.2</v>
      </c>
      <c r="F24" s="11" t="n">
        <f aca="false">E24+F23</f>
        <v>-72070827.086</v>
      </c>
      <c r="G24" s="11" t="n">
        <f aca="false">F24+G23</f>
        <v>-32372551.89858</v>
      </c>
      <c r="H24" s="11" t="n">
        <f aca="false">G24+H23</f>
        <v>-6776728.45553741</v>
      </c>
      <c r="I24" s="11" t="n">
        <f aca="false">H24+I23</f>
        <v>34743569.6907965</v>
      </c>
      <c r="J24" s="11" t="n">
        <f aca="false">I24+J23</f>
        <v>77216076.7815204</v>
      </c>
      <c r="K24" s="11" t="n">
        <f aca="false">J24+K23</f>
        <v>120669359.084966</v>
      </c>
      <c r="L24" s="11" t="n">
        <f aca="false">K24+L23</f>
        <v>203255064.254138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59</v>
      </c>
    </row>
    <row r="3" customFormat="false" ht="15" hidden="false" customHeight="false" outlineLevel="0" collapsed="false">
      <c r="A3" s="7" t="s">
        <v>60</v>
      </c>
      <c r="B3" s="14" t="n">
        <f aca="false">Flujo!$B$23+NPV(Supuestos!$B$4,Flujo!$C$23:$L$23)</f>
        <v>26908199.9387742</v>
      </c>
    </row>
    <row r="4" customFormat="false" ht="15" hidden="false" customHeight="false" outlineLevel="0" collapsed="false">
      <c r="A4" s="7" t="s">
        <v>61</v>
      </c>
      <c r="B4" s="15" t="n">
        <f aca="false">IFERROR(IRR(Flujo!$B$23:$L$23),"No calculable")</f>
        <v>0.12509859830858</v>
      </c>
    </row>
    <row r="5" customFormat="false" ht="15" hidden="false" customHeight="false" outlineLevel="0" collapsed="false">
      <c r="A5" s="7" t="s">
        <v>62</v>
      </c>
      <c r="B5" s="16" t="n">
        <f aca="false">IF(COUNTIF(Flujo!$B$24:$L$24,"&lt;0")&gt;10,"No recupera",COUNTIF(Flujo!$B$24:$L$24,"&lt;0"))</f>
        <v>7</v>
      </c>
    </row>
    <row r="6" customFormat="false" ht="15" hidden="false" customHeight="false" outlineLevel="0" collapsed="false">
      <c r="A6" s="7" t="s">
        <v>63</v>
      </c>
      <c r="B6" s="14" t="n">
        <f aca="false">SUM(Flujo!$B$19:$L$19)</f>
        <v>235000000</v>
      </c>
    </row>
    <row r="7" customFormat="false" ht="15" hidden="false" customHeight="false" outlineLevel="0" collapsed="false">
      <c r="A7" s="7" t="s">
        <v>64</v>
      </c>
      <c r="B7" s="17" t="n">
        <f aca="false">IFERROR(B3/B6,0)</f>
        <v>0.114502978462869</v>
      </c>
    </row>
    <row r="8" customFormat="false" ht="15" hidden="false" customHeight="false" outlineLevel="0" collapsed="false">
      <c r="A8" s="7" t="s">
        <v>2</v>
      </c>
      <c r="B8" s="15" t="n">
        <f aca="false">Supuestos!$B$4</f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6.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  <c r="I4" s="8" t="s">
        <v>75</v>
      </c>
      <c r="J4" s="8" t="s">
        <v>76</v>
      </c>
      <c r="K4" s="8" t="s">
        <v>77</v>
      </c>
      <c r="L4" s="8" t="s">
        <v>78</v>
      </c>
      <c r="M4" s="8" t="s">
        <v>79</v>
      </c>
      <c r="N4" s="8" t="s">
        <v>80</v>
      </c>
      <c r="O4" s="8" t="s">
        <v>81</v>
      </c>
      <c r="P4" s="8" t="s">
        <v>60</v>
      </c>
    </row>
    <row r="5" customFormat="false" ht="15" hidden="false" customHeight="false" outlineLevel="0" collapsed="false">
      <c r="A5" s="3" t="s">
        <v>82</v>
      </c>
      <c r="B5" s="4" t="n">
        <v>0</v>
      </c>
      <c r="C5" s="4" t="n">
        <v>0</v>
      </c>
      <c r="D5" s="4" t="n">
        <v>0</v>
      </c>
      <c r="E5" s="18" t="n">
        <f aca="false">(Flujo!B$6*(1+$B5)-Flujo!B$8*(1+$C5)-Flujo!B$11*(1+$D5))-MAX(0,(Flujo!B$6*(1+$B5)-Flujo!B$8*(1+$C5)-Flujo!B$11*(1+$D5)))*Supuestos!$B$6+Flujo!B$11*(1+$D5)-Flujo!B$19*(1+$D5)-Flujo!B$21*(1+$B5)</f>
        <v>-222400000</v>
      </c>
      <c r="F5" s="18" t="n">
        <f aca="false">(Flujo!C$6*(1+$B5)-Flujo!C$8*(1+$C5)-Flujo!C$11*(1+$D5))-MAX(0,(Flujo!C$6*(1+$B5)-Flujo!C$8*(1+$C5)-Flujo!C$11*(1+$D5)))*Supuestos!$B$6+Flujo!C$11*(1+$D5)-Flujo!C$19*(1+$D5)-Flujo!C$21*(1+$B5)</f>
        <v>36362000</v>
      </c>
      <c r="G5" s="18" t="n">
        <f aca="false">(Flujo!D$6*(1+$B5)-Flujo!D$8*(1+$C5)-Flujo!D$11*(1+$D5))-MAX(0,(Flujo!D$6*(1+$B5)-Flujo!D$8*(1+$C5)-Flujo!D$11*(1+$D5)))*Supuestos!$B$6+Flujo!D$11*(1+$D5)-Flujo!D$19*(1+$D5)-Flujo!D$21*(1+$B5)</f>
        <v>37159460</v>
      </c>
      <c r="H5" s="18" t="n">
        <f aca="false">(Flujo!E$6*(1+$B5)-Flujo!E$8*(1+$C5)-Flujo!E$11*(1+$D5))-MAX(0,(Flujo!E$6*(1+$B5)-Flujo!E$8*(1+$C5)-Flujo!E$11*(1+$D5)))*Supuestos!$B$6+Flujo!E$11*(1+$D5)-Flujo!E$19*(1+$D5)-Flujo!E$21*(1+$B5)</f>
        <v>37980843.8</v>
      </c>
      <c r="I5" s="18" t="n">
        <f aca="false">(Flujo!F$6*(1+$B5)-Flujo!F$8*(1+$C5)-Flujo!F$11*(1+$D5))-MAX(0,(Flujo!F$6*(1+$B5)-Flujo!F$8*(1+$C5)-Flujo!F$11*(1+$D5)))*Supuestos!$B$6+Flujo!F$11*(1+$D5)-Flujo!F$19*(1+$D5)-Flujo!F$21*(1+$B5)</f>
        <v>38826869.114</v>
      </c>
      <c r="J5" s="18" t="n">
        <f aca="false">(Flujo!G$6*(1+$B5)-Flujo!G$8*(1+$C5)-Flujo!G$11*(1+$D5))-MAX(0,(Flujo!G$6*(1+$B5)-Flujo!G$8*(1+$C5)-Flujo!G$11*(1+$D5)))*Supuestos!$B$6+Flujo!G$11*(1+$D5)-Flujo!G$19*(1+$D5)-Flujo!G$21*(1+$B5)</f>
        <v>39698275.18742</v>
      </c>
      <c r="K5" s="18" t="n">
        <f aca="false">(Flujo!H$6*(1+$B5)-Flujo!H$8*(1+$C5)-Flujo!H$11*(1+$D5))-MAX(0,(Flujo!H$6*(1+$B5)-Flujo!H$8*(1+$C5)-Flujo!H$11*(1+$D5)))*Supuestos!$B$6+Flujo!H$11*(1+$D5)-Flujo!H$19*(1+$D5)-Flujo!H$21*(1+$B5)</f>
        <v>25595823.4430426</v>
      </c>
      <c r="L5" s="18" t="n">
        <f aca="false">(Flujo!I$6*(1+$B5)-Flujo!I$8*(1+$C5)-Flujo!I$11*(1+$D5))-MAX(0,(Flujo!I$6*(1+$B5)-Flujo!I$8*(1+$C5)-Flujo!I$11*(1+$D5)))*Supuestos!$B$6+Flujo!I$11*(1+$D5)-Flujo!I$19*(1+$D5)-Flujo!I$21*(1+$B5)</f>
        <v>41520298.1463339</v>
      </c>
      <c r="M5" s="18" t="n">
        <f aca="false">(Flujo!J$6*(1+$B5)-Flujo!J$8*(1+$C5)-Flujo!J$11*(1+$D5))-MAX(0,(Flujo!J$6*(1+$B5)-Flujo!J$8*(1+$C5)-Flujo!J$11*(1+$D5)))*Supuestos!$B$6+Flujo!J$11*(1+$D5)-Flujo!J$19*(1+$D5)-Flujo!J$21*(1+$B5)</f>
        <v>42472507.0907239</v>
      </c>
      <c r="N5" s="18" t="n">
        <f aca="false">(Flujo!K$6*(1+$B5)-Flujo!K$8*(1+$C5)-Flujo!K$11*(1+$D5))-MAX(0,(Flujo!K$6*(1+$B5)-Flujo!K$8*(1+$C5)-Flujo!K$11*(1+$D5)))*Supuestos!$B$6+Flujo!K$11*(1+$D5)-Flujo!K$19*(1+$D5)-Flujo!K$21*(1+$B5)</f>
        <v>43453282.3034456</v>
      </c>
      <c r="O5" s="18" t="n">
        <f aca="false">(Flujo!L$6*(1+$B5)-Flujo!L$8*(1+$C5)-Flujo!L$11*(1+$D5))-MAX(0,(Flujo!L$6*(1+$B5)-Flujo!L$8*(1+$C5)-Flujo!L$11*(1+$D5)))*Supuestos!$B$6+Flujo!L$11*(1+$D5)-Flujo!L$19*(1+$D5)-Flujo!L$21*(1+$B5)+Flujo!L$22*IF(Supuestos!$B$31="valor_libro",1+$D5,1)</f>
        <v>82585705.1691717</v>
      </c>
      <c r="P5" s="14" t="n">
        <f aca="false">E5+NPV(Supuestos!$B$4,F5:O5)</f>
        <v>26908199.9387742</v>
      </c>
    </row>
    <row r="6" customFormat="false" ht="15" hidden="false" customHeight="false" outlineLevel="0" collapsed="false">
      <c r="A6" s="3" t="s">
        <v>83</v>
      </c>
      <c r="B6" s="4" t="n">
        <v>-0.2</v>
      </c>
      <c r="C6" s="4" t="n">
        <v>0</v>
      </c>
      <c r="D6" s="4" t="n">
        <v>0</v>
      </c>
      <c r="E6" s="18" t="n">
        <f aca="false">(Flujo!B$6*(1+$B6)-Flujo!B$8*(1+$C6)-Flujo!B$11*(1+$D6))-MAX(0,(Flujo!B$6*(1+$B6)-Flujo!B$8*(1+$C6)-Flujo!B$11*(1+$D6)))*Supuestos!$B$6+Flujo!B$11*(1+$D6)-Flujo!B$19*(1+$D6)-Flujo!B$21*(1+$B6)</f>
        <v>-221920000</v>
      </c>
      <c r="F6" s="18" t="n">
        <f aca="false">(Flujo!C$6*(1+$B6)-Flujo!C$8*(1+$C6)-Flujo!C$11*(1+$D6))-MAX(0,(Flujo!C$6*(1+$B6)-Flujo!C$8*(1+$C6)-Flujo!C$11*(1+$D6)))*Supuestos!$B$6+Flujo!C$11*(1+$D6)-Flujo!C$19*(1+$D6)-Flujo!C$21*(1+$B6)</f>
        <v>29366600</v>
      </c>
      <c r="G6" s="18" t="n">
        <f aca="false">(Flujo!D$6*(1+$B6)-Flujo!D$8*(1+$C6)-Flujo!D$11*(1+$D6))-MAX(0,(Flujo!D$6*(1+$B6)-Flujo!D$8*(1+$C6)-Flujo!D$11*(1+$D6)))*Supuestos!$B$6+Flujo!D$11*(1+$D6)-Flujo!D$19*(1+$D6)-Flujo!D$21*(1+$B6)</f>
        <v>29980478</v>
      </c>
      <c r="H6" s="18" t="n">
        <f aca="false">(Flujo!E$6*(1+$B6)-Flujo!E$8*(1+$C6)-Flujo!E$11*(1+$D6))-MAX(0,(Flujo!E$6*(1+$B6)-Flujo!E$8*(1+$C6)-Flujo!E$11*(1+$D6)))*Supuestos!$B$6+Flujo!E$11*(1+$D6)-Flujo!E$19*(1+$D6)-Flujo!E$21*(1+$B6)</f>
        <v>30612772.34</v>
      </c>
      <c r="I6" s="18" t="n">
        <f aca="false">(Flujo!F$6*(1+$B6)-Flujo!F$8*(1+$C6)-Flujo!F$11*(1+$D6))-MAX(0,(Flujo!F$6*(1+$B6)-Flujo!F$8*(1+$C6)-Flujo!F$11*(1+$D6)))*Supuestos!$B$6+Flujo!F$11*(1+$D6)-Flujo!F$19*(1+$D6)-Flujo!F$21*(1+$B6)</f>
        <v>31264035.5102</v>
      </c>
      <c r="J6" s="18" t="n">
        <f aca="false">(Flujo!G$6*(1+$B6)-Flujo!G$8*(1+$C6)-Flujo!G$11*(1+$D6))-MAX(0,(Flujo!G$6*(1+$B6)-Flujo!G$8*(1+$C6)-Flujo!G$11*(1+$D6)))*Supuestos!$B$6+Flujo!G$11*(1+$D6)-Flujo!G$19*(1+$D6)-Flujo!G$21*(1+$B6)</f>
        <v>31934836.575506</v>
      </c>
      <c r="K6" s="18" t="n">
        <f aca="false">(Flujo!H$6*(1+$B6)-Flujo!H$8*(1+$C6)-Flujo!H$11*(1+$D6))-MAX(0,(Flujo!H$6*(1+$B6)-Flujo!H$8*(1+$C6)-Flujo!H$11*(1+$D6)))*Supuestos!$B$6+Flujo!H$11*(1+$D6)-Flujo!H$19*(1+$D6)-Flujo!H$21*(1+$B6)</f>
        <v>17625761.6727712</v>
      </c>
      <c r="L6" s="18" t="n">
        <f aca="false">(Flujo!I$6*(1+$B6)-Flujo!I$8*(1+$C6)-Flujo!I$11*(1+$D6))-MAX(0,(Flujo!I$6*(1+$B6)-Flujo!I$8*(1+$C6)-Flujo!I$11*(1+$D6)))*Supuestos!$B$6+Flujo!I$11*(1+$D6)-Flujo!I$19*(1+$D6)-Flujo!I$21*(1+$B6)</f>
        <v>33337414.5229543</v>
      </c>
      <c r="M6" s="18" t="n">
        <f aca="false">(Flujo!J$6*(1+$B6)-Flujo!J$8*(1+$C6)-Flujo!J$11*(1+$D6))-MAX(0,(Flujo!J$6*(1+$B6)-Flujo!J$8*(1+$C6)-Flujo!J$11*(1+$D6)))*Supuestos!$B$6+Flujo!J$11*(1+$D6)-Flujo!J$19*(1+$D6)-Flujo!J$21*(1+$B6)</f>
        <v>34070416.958643</v>
      </c>
      <c r="N6" s="18" t="n">
        <f aca="false">(Flujo!K$6*(1+$B6)-Flujo!K$8*(1+$C6)-Flujo!K$11*(1+$D6))-MAX(0,(Flujo!K$6*(1+$B6)-Flujo!K$8*(1+$C6)-Flujo!K$11*(1+$D6)))*Supuestos!$B$6+Flujo!K$11*(1+$D6)-Flujo!K$19*(1+$D6)-Flujo!K$21*(1+$B6)</f>
        <v>34825409.4674022</v>
      </c>
      <c r="O6" s="18" t="n">
        <f aca="false">(Flujo!L$6*(1+$B6)-Flujo!L$8*(1+$C6)-Flujo!L$11*(1+$D6))-MAX(0,(Flujo!L$6*(1+$B6)-Flujo!L$8*(1+$C6)-Flujo!L$11*(1+$D6)))*Supuestos!$B$6+Flujo!L$11*(1+$D6)-Flujo!L$19*(1+$D6)-Flujo!L$21*(1+$B6)+Flujo!L$22*IF(Supuestos!$B$31="valor_libro",1+$D6,1)</f>
        <v>73100831.2687224</v>
      </c>
      <c r="P6" s="14" t="n">
        <f aca="false">E6+NPV(Supuestos!$B$4,F6:O6)</f>
        <v>-20359572.5230702</v>
      </c>
    </row>
    <row r="7" customFormat="false" ht="15" hidden="false" customHeight="false" outlineLevel="0" collapsed="false">
      <c r="A7" s="3" t="s">
        <v>84</v>
      </c>
      <c r="B7" s="4" t="n">
        <v>-0.1</v>
      </c>
      <c r="C7" s="4" t="n">
        <v>0</v>
      </c>
      <c r="D7" s="4" t="n">
        <v>0</v>
      </c>
      <c r="E7" s="18" t="n">
        <f aca="false">(Flujo!B$6*(1+$B7)-Flujo!B$8*(1+$C7)-Flujo!B$11*(1+$D7))-MAX(0,(Flujo!B$6*(1+$B7)-Flujo!B$8*(1+$C7)-Flujo!B$11*(1+$D7)))*Supuestos!$B$6+Flujo!B$11*(1+$D7)-Flujo!B$19*(1+$D7)-Flujo!B$21*(1+$B7)</f>
        <v>-222160000</v>
      </c>
      <c r="F7" s="18" t="n">
        <f aca="false">(Flujo!C$6*(1+$B7)-Flujo!C$8*(1+$C7)-Flujo!C$11*(1+$D7))-MAX(0,(Flujo!C$6*(1+$B7)-Flujo!C$8*(1+$C7)-Flujo!C$11*(1+$D7)))*Supuestos!$B$6+Flujo!C$11*(1+$D7)-Flujo!C$19*(1+$D7)-Flujo!C$21*(1+$B7)</f>
        <v>32864300</v>
      </c>
      <c r="G7" s="18" t="n">
        <f aca="false">(Flujo!D$6*(1+$B7)-Flujo!D$8*(1+$C7)-Flujo!D$11*(1+$D7))-MAX(0,(Flujo!D$6*(1+$B7)-Flujo!D$8*(1+$C7)-Flujo!D$11*(1+$D7)))*Supuestos!$B$6+Flujo!D$11*(1+$D7)-Flujo!D$19*(1+$D7)-Flujo!D$21*(1+$B7)</f>
        <v>33569969</v>
      </c>
      <c r="H7" s="18" t="n">
        <f aca="false">(Flujo!E$6*(1+$B7)-Flujo!E$8*(1+$C7)-Flujo!E$11*(1+$D7))-MAX(0,(Flujo!E$6*(1+$B7)-Flujo!E$8*(1+$C7)-Flujo!E$11*(1+$D7)))*Supuestos!$B$6+Flujo!E$11*(1+$D7)-Flujo!E$19*(1+$D7)-Flujo!E$21*(1+$B7)</f>
        <v>34296808.07</v>
      </c>
      <c r="I7" s="18" t="n">
        <f aca="false">(Flujo!F$6*(1+$B7)-Flujo!F$8*(1+$C7)-Flujo!F$11*(1+$D7))-MAX(0,(Flujo!F$6*(1+$B7)-Flujo!F$8*(1+$C7)-Flujo!F$11*(1+$D7)))*Supuestos!$B$6+Flujo!F$11*(1+$D7)-Flujo!F$19*(1+$D7)-Flujo!F$21*(1+$B7)</f>
        <v>35045452.3121</v>
      </c>
      <c r="J7" s="18" t="n">
        <f aca="false">(Flujo!G$6*(1+$B7)-Flujo!G$8*(1+$C7)-Flujo!G$11*(1+$D7))-MAX(0,(Flujo!G$6*(1+$B7)-Flujo!G$8*(1+$C7)-Flujo!G$11*(1+$D7)))*Supuestos!$B$6+Flujo!G$11*(1+$D7)-Flujo!G$19*(1+$D7)-Flujo!G$21*(1+$B7)</f>
        <v>35816555.881463</v>
      </c>
      <c r="K7" s="18" t="n">
        <f aca="false">(Flujo!H$6*(1+$B7)-Flujo!H$8*(1+$C7)-Flujo!H$11*(1+$D7))-MAX(0,(Flujo!H$6*(1+$B7)-Flujo!H$8*(1+$C7)-Flujo!H$11*(1+$D7)))*Supuestos!$B$6+Flujo!H$11*(1+$D7)-Flujo!H$19*(1+$D7)-Flujo!H$21*(1+$B7)</f>
        <v>21610792.5579069</v>
      </c>
      <c r="L7" s="18" t="n">
        <f aca="false">(Flujo!I$6*(1+$B7)-Flujo!I$8*(1+$C7)-Flujo!I$11*(1+$D7))-MAX(0,(Flujo!I$6*(1+$B7)-Flujo!I$8*(1+$C7)-Flujo!I$11*(1+$D7)))*Supuestos!$B$6+Flujo!I$11*(1+$D7)-Flujo!I$19*(1+$D7)-Flujo!I$21*(1+$B7)</f>
        <v>37428856.3346441</v>
      </c>
      <c r="M7" s="18" t="n">
        <f aca="false">(Flujo!J$6*(1+$B7)-Flujo!J$8*(1+$C7)-Flujo!J$11*(1+$D7))-MAX(0,(Flujo!J$6*(1+$B7)-Flujo!J$8*(1+$C7)-Flujo!J$11*(1+$D7)))*Supuestos!$B$6+Flujo!J$11*(1+$D7)-Flujo!J$19*(1+$D7)-Flujo!J$21*(1+$B7)</f>
        <v>38271462.0246834</v>
      </c>
      <c r="N7" s="18" t="n">
        <f aca="false">(Flujo!K$6*(1+$B7)-Flujo!K$8*(1+$C7)-Flujo!K$11*(1+$D7))-MAX(0,(Flujo!K$6*(1+$B7)-Flujo!K$8*(1+$C7)-Flujo!K$11*(1+$D7)))*Supuestos!$B$6+Flujo!K$11*(1+$D7)-Flujo!K$19*(1+$D7)-Flujo!K$21*(1+$B7)</f>
        <v>39139345.8854239</v>
      </c>
      <c r="O7" s="18" t="n">
        <f aca="false">(Flujo!L$6*(1+$B7)-Flujo!L$8*(1+$C7)-Flujo!L$11*(1+$D7))-MAX(0,(Flujo!L$6*(1+$B7)-Flujo!L$8*(1+$C7)-Flujo!L$11*(1+$D7)))*Supuestos!$B$6+Flujo!L$11*(1+$D7)-Flujo!L$19*(1+$D7)-Flujo!L$21*(1+$B7)+Flujo!L$22*IF(Supuestos!$B$31="valor_libro",1+$D7,1)</f>
        <v>77843268.218947</v>
      </c>
      <c r="P7" s="14" t="n">
        <f aca="false">E7+NPV(Supuestos!$B$4,F7:O7)</f>
        <v>3274313.70785198</v>
      </c>
    </row>
    <row r="8" customFormat="false" ht="15" hidden="false" customHeight="false" outlineLevel="0" collapsed="false">
      <c r="A8" s="3" t="s">
        <v>85</v>
      </c>
      <c r="B8" s="4" t="n">
        <v>0.1</v>
      </c>
      <c r="C8" s="4" t="n">
        <v>0</v>
      </c>
      <c r="D8" s="4" t="n">
        <v>0</v>
      </c>
      <c r="E8" s="18" t="n">
        <f aca="false">(Flujo!B$6*(1+$B8)-Flujo!B$8*(1+$C8)-Flujo!B$11*(1+$D8))-MAX(0,(Flujo!B$6*(1+$B8)-Flujo!B$8*(1+$C8)-Flujo!B$11*(1+$D8)))*Supuestos!$B$6+Flujo!B$11*(1+$D8)-Flujo!B$19*(1+$D8)-Flujo!B$21*(1+$B8)</f>
        <v>-222640000</v>
      </c>
      <c r="F8" s="18" t="n">
        <f aca="false">(Flujo!C$6*(1+$B8)-Flujo!C$8*(1+$C8)-Flujo!C$11*(1+$D8))-MAX(0,(Flujo!C$6*(1+$B8)-Flujo!C$8*(1+$C8)-Flujo!C$11*(1+$D8)))*Supuestos!$B$6+Flujo!C$11*(1+$D8)-Flujo!C$19*(1+$D8)-Flujo!C$21*(1+$B8)</f>
        <v>39859700</v>
      </c>
      <c r="G8" s="18" t="n">
        <f aca="false">(Flujo!D$6*(1+$B8)-Flujo!D$8*(1+$C8)-Flujo!D$11*(1+$D8))-MAX(0,(Flujo!D$6*(1+$B8)-Flujo!D$8*(1+$C8)-Flujo!D$11*(1+$D8)))*Supuestos!$B$6+Flujo!D$11*(1+$D8)-Flujo!D$19*(1+$D8)-Flujo!D$21*(1+$B8)</f>
        <v>40748951</v>
      </c>
      <c r="H8" s="18" t="n">
        <f aca="false">(Flujo!E$6*(1+$B8)-Flujo!E$8*(1+$C8)-Flujo!E$11*(1+$D8))-MAX(0,(Flujo!E$6*(1+$B8)-Flujo!E$8*(1+$C8)-Flujo!E$11*(1+$D8)))*Supuestos!$B$6+Flujo!E$11*(1+$D8)-Flujo!E$19*(1+$D8)-Flujo!E$21*(1+$B8)</f>
        <v>41664879.53</v>
      </c>
      <c r="I8" s="18" t="n">
        <f aca="false">(Flujo!F$6*(1+$B8)-Flujo!F$8*(1+$C8)-Flujo!F$11*(1+$D8))-MAX(0,(Flujo!F$6*(1+$B8)-Flujo!F$8*(1+$C8)-Flujo!F$11*(1+$D8)))*Supuestos!$B$6+Flujo!F$11*(1+$D8)-Flujo!F$19*(1+$D8)-Flujo!F$21*(1+$B8)</f>
        <v>42608285.9159</v>
      </c>
      <c r="J8" s="18" t="n">
        <f aca="false">(Flujo!G$6*(1+$B8)-Flujo!G$8*(1+$C8)-Flujo!G$11*(1+$D8))-MAX(0,(Flujo!G$6*(1+$B8)-Flujo!G$8*(1+$C8)-Flujo!G$11*(1+$D8)))*Supuestos!$B$6+Flujo!G$11*(1+$D8)-Flujo!G$19*(1+$D8)-Flujo!G$21*(1+$B8)</f>
        <v>43579994.493377</v>
      </c>
      <c r="K8" s="18" t="n">
        <f aca="false">(Flujo!H$6*(1+$B8)-Flujo!H$8*(1+$C8)-Flujo!H$11*(1+$D8))-MAX(0,(Flujo!H$6*(1+$B8)-Flujo!H$8*(1+$C8)-Flujo!H$11*(1+$D8)))*Supuestos!$B$6+Flujo!H$11*(1+$D8)-Flujo!H$19*(1+$D8)-Flujo!H$21*(1+$B8)</f>
        <v>29580854.3281783</v>
      </c>
      <c r="L8" s="18" t="n">
        <f aca="false">(Flujo!I$6*(1+$B8)-Flujo!I$8*(1+$C8)-Flujo!I$11*(1+$D8))-MAX(0,(Flujo!I$6*(1+$B8)-Flujo!I$8*(1+$C8)-Flujo!I$11*(1+$D8)))*Supuestos!$B$6+Flujo!I$11*(1+$D8)-Flujo!I$19*(1+$D8)-Flujo!I$21*(1+$B8)</f>
        <v>45611739.9580237</v>
      </c>
      <c r="M8" s="18" t="n">
        <f aca="false">(Flujo!J$6*(1+$B8)-Flujo!J$8*(1+$C8)-Flujo!J$11*(1+$D8))-MAX(0,(Flujo!J$6*(1+$B8)-Flujo!J$8*(1+$C8)-Flujo!J$11*(1+$D8)))*Supuestos!$B$6+Flujo!J$11*(1+$D8)-Flujo!J$19*(1+$D8)-Flujo!J$21*(1+$B8)</f>
        <v>46673552.1567644</v>
      </c>
      <c r="N8" s="18" t="n">
        <f aca="false">(Flujo!K$6*(1+$B8)-Flujo!K$8*(1+$C8)-Flujo!K$11*(1+$D8))-MAX(0,(Flujo!K$6*(1+$B8)-Flujo!K$8*(1+$C8)-Flujo!K$11*(1+$D8)))*Supuestos!$B$6+Flujo!K$11*(1+$D8)-Flujo!K$19*(1+$D8)-Flujo!K$21*(1+$B8)</f>
        <v>47767218.7214673</v>
      </c>
      <c r="O8" s="18" t="n">
        <f aca="false">(Flujo!L$6*(1+$B8)-Flujo!L$8*(1+$C8)-Flujo!L$11*(1+$D8))-MAX(0,(Flujo!L$6*(1+$B8)-Flujo!L$8*(1+$C8)-Flujo!L$11*(1+$D8)))*Supuestos!$B$6+Flujo!L$11*(1+$D8)-Flujo!L$19*(1+$D8)-Flujo!L$21*(1+$B8)+Flujo!L$22*IF(Supuestos!$B$31="valor_libro",1+$D8,1)</f>
        <v>87328142.1193963</v>
      </c>
      <c r="P8" s="14" t="n">
        <f aca="false">E8+NPV(Supuestos!$B$4,F8:O8)</f>
        <v>50542086.1696964</v>
      </c>
    </row>
    <row r="9" customFormat="false" ht="15" hidden="false" customHeight="false" outlineLevel="0" collapsed="false">
      <c r="A9" s="3" t="s">
        <v>86</v>
      </c>
      <c r="B9" s="4" t="n">
        <v>0.2</v>
      </c>
      <c r="C9" s="4" t="n">
        <v>0</v>
      </c>
      <c r="D9" s="4" t="n">
        <v>0</v>
      </c>
      <c r="E9" s="18" t="n">
        <f aca="false">(Flujo!B$6*(1+$B9)-Flujo!B$8*(1+$C9)-Flujo!B$11*(1+$D9))-MAX(0,(Flujo!B$6*(1+$B9)-Flujo!B$8*(1+$C9)-Flujo!B$11*(1+$D9)))*Supuestos!$B$6+Flujo!B$11*(1+$D9)-Flujo!B$19*(1+$D9)-Flujo!B$21*(1+$B9)</f>
        <v>-222880000</v>
      </c>
      <c r="F9" s="18" t="n">
        <f aca="false">(Flujo!C$6*(1+$B9)-Flujo!C$8*(1+$C9)-Flujo!C$11*(1+$D9))-MAX(0,(Flujo!C$6*(1+$B9)-Flujo!C$8*(1+$C9)-Flujo!C$11*(1+$D9)))*Supuestos!$B$6+Flujo!C$11*(1+$D9)-Flujo!C$19*(1+$D9)-Flujo!C$21*(1+$B9)</f>
        <v>43357400</v>
      </c>
      <c r="G9" s="18" t="n">
        <f aca="false">(Flujo!D$6*(1+$B9)-Flujo!D$8*(1+$C9)-Flujo!D$11*(1+$D9))-MAX(0,(Flujo!D$6*(1+$B9)-Flujo!D$8*(1+$C9)-Flujo!D$11*(1+$D9)))*Supuestos!$B$6+Flujo!D$11*(1+$D9)-Flujo!D$19*(1+$D9)-Flujo!D$21*(1+$B9)</f>
        <v>44338442</v>
      </c>
      <c r="H9" s="18" t="n">
        <f aca="false">(Flujo!E$6*(1+$B9)-Flujo!E$8*(1+$C9)-Flujo!E$11*(1+$D9))-MAX(0,(Flujo!E$6*(1+$B9)-Flujo!E$8*(1+$C9)-Flujo!E$11*(1+$D9)))*Supuestos!$B$6+Flujo!E$11*(1+$D9)-Flujo!E$19*(1+$D9)-Flujo!E$21*(1+$B9)</f>
        <v>45348915.26</v>
      </c>
      <c r="I9" s="18" t="n">
        <f aca="false">(Flujo!F$6*(1+$B9)-Flujo!F$8*(1+$C9)-Flujo!F$11*(1+$D9))-MAX(0,(Flujo!F$6*(1+$B9)-Flujo!F$8*(1+$C9)-Flujo!F$11*(1+$D9)))*Supuestos!$B$6+Flujo!F$11*(1+$D9)-Flujo!F$19*(1+$D9)-Flujo!F$21*(1+$B9)</f>
        <v>46389702.7178</v>
      </c>
      <c r="J9" s="18" t="n">
        <f aca="false">(Flujo!G$6*(1+$B9)-Flujo!G$8*(1+$C9)-Flujo!G$11*(1+$D9))-MAX(0,(Flujo!G$6*(1+$B9)-Flujo!G$8*(1+$C9)-Flujo!G$11*(1+$D9)))*Supuestos!$B$6+Flujo!G$11*(1+$D9)-Flujo!G$19*(1+$D9)-Flujo!G$21*(1+$B9)</f>
        <v>47461713.799334</v>
      </c>
      <c r="K9" s="18" t="n">
        <f aca="false">(Flujo!H$6*(1+$B9)-Flujo!H$8*(1+$C9)-Flujo!H$11*(1+$D9))-MAX(0,(Flujo!H$6*(1+$B9)-Flujo!H$8*(1+$C9)-Flujo!H$11*(1+$D9)))*Supuestos!$B$6+Flujo!H$11*(1+$D9)-Flujo!H$19*(1+$D9)-Flujo!H$21*(1+$B9)</f>
        <v>33565885.213314</v>
      </c>
      <c r="L9" s="18" t="n">
        <f aca="false">(Flujo!I$6*(1+$B9)-Flujo!I$8*(1+$C9)-Flujo!I$11*(1+$D9))-MAX(0,(Flujo!I$6*(1+$B9)-Flujo!I$8*(1+$C9)-Flujo!I$11*(1+$D9)))*Supuestos!$B$6+Flujo!I$11*(1+$D9)-Flujo!I$19*(1+$D9)-Flujo!I$21*(1+$B9)</f>
        <v>49703181.7697134</v>
      </c>
      <c r="M9" s="18" t="n">
        <f aca="false">(Flujo!J$6*(1+$B9)-Flujo!J$8*(1+$C9)-Flujo!J$11*(1+$D9))-MAX(0,(Flujo!J$6*(1+$B9)-Flujo!J$8*(1+$C9)-Flujo!J$11*(1+$D9)))*Supuestos!$B$6+Flujo!J$11*(1+$D9)-Flujo!J$19*(1+$D9)-Flujo!J$21*(1+$B9)</f>
        <v>50874597.2228048</v>
      </c>
      <c r="N9" s="18" t="n">
        <f aca="false">(Flujo!K$6*(1+$B9)-Flujo!K$8*(1+$C9)-Flujo!K$11*(1+$D9))-MAX(0,(Flujo!K$6*(1+$B9)-Flujo!K$8*(1+$C9)-Flujo!K$11*(1+$D9)))*Supuestos!$B$6+Flujo!K$11*(1+$D9)-Flujo!K$19*(1+$D9)-Flujo!K$21*(1+$B9)</f>
        <v>52081155.139489</v>
      </c>
      <c r="O9" s="18" t="n">
        <f aca="false">(Flujo!L$6*(1+$B9)-Flujo!L$8*(1+$C9)-Flujo!L$11*(1+$D9))-MAX(0,(Flujo!L$6*(1+$B9)-Flujo!L$8*(1+$C9)-Flujo!L$11*(1+$D9)))*Supuestos!$B$6+Flujo!L$11*(1+$D9)-Flujo!L$19*(1+$D9)-Flujo!L$21*(1+$B9)+Flujo!L$22*IF(Supuestos!$B$31="valor_libro",1+$D9,1)</f>
        <v>92070579.0696209</v>
      </c>
      <c r="P9" s="14" t="n">
        <f aca="false">E9+NPV(Supuestos!$B$4,F9:O9)</f>
        <v>74175972.4006186</v>
      </c>
    </row>
    <row r="10" customFormat="false" ht="15" hidden="false" customHeight="false" outlineLevel="0" collapsed="false">
      <c r="A10" s="3" t="s">
        <v>87</v>
      </c>
      <c r="B10" s="4" t="n">
        <v>0</v>
      </c>
      <c r="C10" s="4" t="n">
        <v>-0.2</v>
      </c>
      <c r="D10" s="4" t="n">
        <v>0</v>
      </c>
      <c r="E10" s="18" t="n">
        <f aca="false">(Flujo!B$6*(1+$B10)-Flujo!B$8*(1+$C10)-Flujo!B$11*(1+$D10))-MAX(0,(Flujo!B$6*(1+$B10)-Flujo!B$8*(1+$C10)-Flujo!B$11*(1+$D10)))*Supuestos!$B$6+Flujo!B$11*(1+$D10)-Flujo!B$19*(1+$D10)-Flujo!B$21*(1+$B10)</f>
        <v>-222400000</v>
      </c>
      <c r="F10" s="18" t="n">
        <f aca="false">(Flujo!C$6*(1+$B10)-Flujo!C$8*(1+$C10)-Flujo!C$11*(1+$D10))-MAX(0,(Flujo!C$6*(1+$B10)-Flujo!C$8*(1+$C10)-Flujo!C$11*(1+$D10)))*Supuestos!$B$6+Flujo!C$11*(1+$D10)-Flujo!C$19*(1+$D10)-Flujo!C$21*(1+$B10)</f>
        <v>37165000</v>
      </c>
      <c r="G10" s="18" t="n">
        <f aca="false">(Flujo!D$6*(1+$B10)-Flujo!D$8*(1+$C10)-Flujo!D$11*(1+$D10))-MAX(0,(Flujo!D$6*(1+$B10)-Flujo!D$8*(1+$C10)-Flujo!D$11*(1+$D10)))*Supuestos!$B$6+Flujo!D$11*(1+$D10)-Flujo!D$19*(1+$D10)-Flujo!D$21*(1+$B10)</f>
        <v>37986550</v>
      </c>
      <c r="H10" s="18" t="n">
        <f aca="false">(Flujo!E$6*(1+$B10)-Flujo!E$8*(1+$C10)-Flujo!E$11*(1+$D10))-MAX(0,(Flujo!E$6*(1+$B10)-Flujo!E$8*(1+$C10)-Flujo!E$11*(1+$D10)))*Supuestos!$B$6+Flujo!E$11*(1+$D10)-Flujo!E$19*(1+$D10)-Flujo!E$21*(1+$B10)</f>
        <v>38832746.5</v>
      </c>
      <c r="I10" s="18" t="n">
        <f aca="false">(Flujo!F$6*(1+$B10)-Flujo!F$8*(1+$C10)-Flujo!F$11*(1+$D10))-MAX(0,(Flujo!F$6*(1+$B10)-Flujo!F$8*(1+$C10)-Flujo!F$11*(1+$D10)))*Supuestos!$B$6+Flujo!F$11*(1+$D10)-Flujo!F$19*(1+$D10)-Flujo!F$21*(1+$B10)</f>
        <v>39704328.895</v>
      </c>
      <c r="J10" s="18" t="n">
        <f aca="false">(Flujo!G$6*(1+$B10)-Flujo!G$8*(1+$C10)-Flujo!G$11*(1+$D10))-MAX(0,(Flujo!G$6*(1+$B10)-Flujo!G$8*(1+$C10)-Flujo!G$11*(1+$D10)))*Supuestos!$B$6+Flujo!G$11*(1+$D10)-Flujo!G$19*(1+$D10)-Flujo!G$21*(1+$B10)</f>
        <v>40602058.76185</v>
      </c>
      <c r="K10" s="18" t="n">
        <f aca="false">(Flujo!H$6*(1+$B10)-Flujo!H$8*(1+$C10)-Flujo!H$11*(1+$D10))-MAX(0,(Flujo!H$6*(1+$B10)-Flujo!H$8*(1+$C10)-Flujo!H$11*(1+$D10)))*Supuestos!$B$6+Flujo!H$11*(1+$D10)-Flujo!H$19*(1+$D10)-Flujo!H$21*(1+$B10)</f>
        <v>26526720.5247055</v>
      </c>
      <c r="L10" s="18" t="n">
        <f aca="false">(Flujo!I$6*(1+$B10)-Flujo!I$8*(1+$C10)-Flujo!I$11*(1+$D10))-MAX(0,(Flujo!I$6*(1+$B10)-Flujo!I$8*(1+$C10)-Flujo!I$11*(1+$D10)))*Supuestos!$B$6+Flujo!I$11*(1+$D10)-Flujo!I$19*(1+$D10)-Flujo!I$21*(1+$B10)</f>
        <v>42479122.1404467</v>
      </c>
      <c r="M10" s="18" t="n">
        <f aca="false">(Flujo!J$6*(1+$B10)-Flujo!J$8*(1+$C10)-Flujo!J$11*(1+$D10))-MAX(0,(Flujo!J$6*(1+$B10)-Flujo!J$8*(1+$C10)-Flujo!J$11*(1+$D10)))*Supuestos!$B$6+Flujo!J$11*(1+$D10)-Flujo!J$19*(1+$D10)-Flujo!J$21*(1+$B10)</f>
        <v>43460095.8046601</v>
      </c>
      <c r="N10" s="18" t="n">
        <f aca="false">(Flujo!K$6*(1+$B10)-Flujo!K$8*(1+$C10)-Flujo!K$11*(1+$D10))-MAX(0,(Flujo!K$6*(1+$B10)-Flujo!K$8*(1+$C10)-Flujo!K$11*(1+$D10)))*Supuestos!$B$6+Flujo!K$11*(1+$D10)-Flujo!K$19*(1+$D10)-Flujo!K$21*(1+$B10)</f>
        <v>44470498.6787999</v>
      </c>
      <c r="O10" s="18" t="n">
        <f aca="false">(Flujo!L$6*(1+$B10)-Flujo!L$8*(1+$C10)-Flujo!L$11*(1+$D10))-MAX(0,(Flujo!L$6*(1+$B10)-Flujo!L$8*(1+$C10)-Flujo!L$11*(1+$D10)))*Supuestos!$B$6+Flujo!L$11*(1+$D10)-Flujo!L$19*(1+$D10)-Flujo!L$21*(1+$B10)+Flujo!L$22*IF(Supuestos!$B$31="valor_libro",1+$D10,1)</f>
        <v>83633438.0357865</v>
      </c>
      <c r="P10" s="14" t="n">
        <f aca="false">E10+NPV(Supuestos!$B$4,F10:O10)</f>
        <v>32435846.1228702</v>
      </c>
    </row>
    <row r="11" customFormat="false" ht="15" hidden="false" customHeight="false" outlineLevel="0" collapsed="false">
      <c r="A11" s="3" t="s">
        <v>88</v>
      </c>
      <c r="B11" s="4" t="n">
        <v>0</v>
      </c>
      <c r="C11" s="4" t="n">
        <v>-0.1</v>
      </c>
      <c r="D11" s="4" t="n">
        <v>0</v>
      </c>
      <c r="E11" s="18" t="n">
        <f aca="false">(Flujo!B$6*(1+$B11)-Flujo!B$8*(1+$C11)-Flujo!B$11*(1+$D11))-MAX(0,(Flujo!B$6*(1+$B11)-Flujo!B$8*(1+$C11)-Flujo!B$11*(1+$D11)))*Supuestos!$B$6+Flujo!B$11*(1+$D11)-Flujo!B$19*(1+$D11)-Flujo!B$21*(1+$B11)</f>
        <v>-222400000</v>
      </c>
      <c r="F11" s="18" t="n">
        <f aca="false">(Flujo!C$6*(1+$B11)-Flujo!C$8*(1+$C11)-Flujo!C$11*(1+$D11))-MAX(0,(Flujo!C$6*(1+$B11)-Flujo!C$8*(1+$C11)-Flujo!C$11*(1+$D11)))*Supuestos!$B$6+Flujo!C$11*(1+$D11)-Flujo!C$19*(1+$D11)-Flujo!C$21*(1+$B11)</f>
        <v>36763500</v>
      </c>
      <c r="G11" s="18" t="n">
        <f aca="false">(Flujo!D$6*(1+$B11)-Flujo!D$8*(1+$C11)-Flujo!D$11*(1+$D11))-MAX(0,(Flujo!D$6*(1+$B11)-Flujo!D$8*(1+$C11)-Flujo!D$11*(1+$D11)))*Supuestos!$B$6+Flujo!D$11*(1+$D11)-Flujo!D$19*(1+$D11)-Flujo!D$21*(1+$B11)</f>
        <v>37573005</v>
      </c>
      <c r="H11" s="18" t="n">
        <f aca="false">(Flujo!E$6*(1+$B11)-Flujo!E$8*(1+$C11)-Flujo!E$11*(1+$D11))-MAX(0,(Flujo!E$6*(1+$B11)-Flujo!E$8*(1+$C11)-Flujo!E$11*(1+$D11)))*Supuestos!$B$6+Flujo!E$11*(1+$D11)-Flujo!E$19*(1+$D11)-Flujo!E$21*(1+$B11)</f>
        <v>38406795.15</v>
      </c>
      <c r="I11" s="18" t="n">
        <f aca="false">(Flujo!F$6*(1+$B11)-Flujo!F$8*(1+$C11)-Flujo!F$11*(1+$D11))-MAX(0,(Flujo!F$6*(1+$B11)-Flujo!F$8*(1+$C11)-Flujo!F$11*(1+$D11)))*Supuestos!$B$6+Flujo!F$11*(1+$D11)-Flujo!F$19*(1+$D11)-Flujo!F$21*(1+$B11)</f>
        <v>39265599.0045</v>
      </c>
      <c r="J11" s="18" t="n">
        <f aca="false">(Flujo!G$6*(1+$B11)-Flujo!G$8*(1+$C11)-Flujo!G$11*(1+$D11))-MAX(0,(Flujo!G$6*(1+$B11)-Flujo!G$8*(1+$C11)-Flujo!G$11*(1+$D11)))*Supuestos!$B$6+Flujo!G$11*(1+$D11)-Flujo!G$19*(1+$D11)-Flujo!G$21*(1+$B11)</f>
        <v>40150166.974635</v>
      </c>
      <c r="K11" s="18" t="n">
        <f aca="false">(Flujo!H$6*(1+$B11)-Flujo!H$8*(1+$C11)-Flujo!H$11*(1+$D11))-MAX(0,(Flujo!H$6*(1+$B11)-Flujo!H$8*(1+$C11)-Flujo!H$11*(1+$D11)))*Supuestos!$B$6+Flujo!H$11*(1+$D11)-Flujo!H$19*(1+$D11)-Flujo!H$21*(1+$B11)</f>
        <v>26061271.9838741</v>
      </c>
      <c r="L11" s="18" t="n">
        <f aca="false">(Flujo!I$6*(1+$B11)-Flujo!I$8*(1+$C11)-Flujo!I$11*(1+$D11))-MAX(0,(Flujo!I$6*(1+$B11)-Flujo!I$8*(1+$C11)-Flujo!I$11*(1+$D11)))*Supuestos!$B$6+Flujo!I$11*(1+$D11)-Flujo!I$19*(1+$D11)-Flujo!I$21*(1+$B11)</f>
        <v>41999710.1433903</v>
      </c>
      <c r="M11" s="18" t="n">
        <f aca="false">(Flujo!J$6*(1+$B11)-Flujo!J$8*(1+$C11)-Flujo!J$11*(1+$D11))-MAX(0,(Flujo!J$6*(1+$B11)-Flujo!J$8*(1+$C11)-Flujo!J$11*(1+$D11)))*Supuestos!$B$6+Flujo!J$11*(1+$D11)-Flujo!J$19*(1+$D11)-Flujo!J$21*(1+$B11)</f>
        <v>42966301.447692</v>
      </c>
      <c r="N11" s="18" t="n">
        <f aca="false">(Flujo!K$6*(1+$B11)-Flujo!K$8*(1+$C11)-Flujo!K$11*(1+$D11))-MAX(0,(Flujo!K$6*(1+$B11)-Flujo!K$8*(1+$C11)-Flujo!K$11*(1+$D11)))*Supuestos!$B$6+Flujo!K$11*(1+$D11)-Flujo!K$19*(1+$D11)-Flujo!K$21*(1+$B11)</f>
        <v>43961890.4911227</v>
      </c>
      <c r="O11" s="18" t="n">
        <f aca="false">(Flujo!L$6*(1+$B11)-Flujo!L$8*(1+$C11)-Flujo!L$11*(1+$D11))-MAX(0,(Flujo!L$6*(1+$B11)-Flujo!L$8*(1+$C11)-Flujo!L$11*(1+$D11)))*Supuestos!$B$6+Flujo!L$11*(1+$D11)-Flujo!L$19*(1+$D11)-Flujo!L$21*(1+$B11)+Flujo!L$22*IF(Supuestos!$B$31="valor_libro",1+$D11,1)</f>
        <v>83109571.6024791</v>
      </c>
      <c r="P11" s="14" t="n">
        <f aca="false">E11+NPV(Supuestos!$B$4,F11:O11)</f>
        <v>29672023.0308222</v>
      </c>
    </row>
    <row r="12" customFormat="false" ht="15" hidden="false" customHeight="false" outlineLevel="0" collapsed="false">
      <c r="A12" s="3" t="s">
        <v>89</v>
      </c>
      <c r="B12" s="4" t="n">
        <v>0</v>
      </c>
      <c r="C12" s="4" t="n">
        <v>0.1</v>
      </c>
      <c r="D12" s="4" t="n">
        <v>0</v>
      </c>
      <c r="E12" s="18" t="n">
        <f aca="false">(Flujo!B$6*(1+$B12)-Flujo!B$8*(1+$C12)-Flujo!B$11*(1+$D12))-MAX(0,(Flujo!B$6*(1+$B12)-Flujo!B$8*(1+$C12)-Flujo!B$11*(1+$D12)))*Supuestos!$B$6+Flujo!B$11*(1+$D12)-Flujo!B$19*(1+$D12)-Flujo!B$21*(1+$B12)</f>
        <v>-222400000</v>
      </c>
      <c r="F12" s="18" t="n">
        <f aca="false">(Flujo!C$6*(1+$B12)-Flujo!C$8*(1+$C12)-Flujo!C$11*(1+$D12))-MAX(0,(Flujo!C$6*(1+$B12)-Flujo!C$8*(1+$C12)-Flujo!C$11*(1+$D12)))*Supuestos!$B$6+Flujo!C$11*(1+$D12)-Flujo!C$19*(1+$D12)-Flujo!C$21*(1+$B12)</f>
        <v>35960500</v>
      </c>
      <c r="G12" s="18" t="n">
        <f aca="false">(Flujo!D$6*(1+$B12)-Flujo!D$8*(1+$C12)-Flujo!D$11*(1+$D12))-MAX(0,(Flujo!D$6*(1+$B12)-Flujo!D$8*(1+$C12)-Flujo!D$11*(1+$D12)))*Supuestos!$B$6+Flujo!D$11*(1+$D12)-Flujo!D$19*(1+$D12)-Flujo!D$21*(1+$B12)</f>
        <v>36745915</v>
      </c>
      <c r="H12" s="18" t="n">
        <f aca="false">(Flujo!E$6*(1+$B12)-Flujo!E$8*(1+$C12)-Flujo!E$11*(1+$D12))-MAX(0,(Flujo!E$6*(1+$B12)-Flujo!E$8*(1+$C12)-Flujo!E$11*(1+$D12)))*Supuestos!$B$6+Flujo!E$11*(1+$D12)-Flujo!E$19*(1+$D12)-Flujo!E$21*(1+$B12)</f>
        <v>37554892.45</v>
      </c>
      <c r="I12" s="18" t="n">
        <f aca="false">(Flujo!F$6*(1+$B12)-Flujo!F$8*(1+$C12)-Flujo!F$11*(1+$D12))-MAX(0,(Flujo!F$6*(1+$B12)-Flujo!F$8*(1+$C12)-Flujo!F$11*(1+$D12)))*Supuestos!$B$6+Flujo!F$11*(1+$D12)-Flujo!F$19*(1+$D12)-Flujo!F$21*(1+$B12)</f>
        <v>38388139.2235</v>
      </c>
      <c r="J12" s="18" t="n">
        <f aca="false">(Flujo!G$6*(1+$B12)-Flujo!G$8*(1+$C12)-Flujo!G$11*(1+$D12))-MAX(0,(Flujo!G$6*(1+$B12)-Flujo!G$8*(1+$C12)-Flujo!G$11*(1+$D12)))*Supuestos!$B$6+Flujo!G$11*(1+$D12)-Flujo!G$19*(1+$D12)-Flujo!G$21*(1+$B12)</f>
        <v>39246383.400205</v>
      </c>
      <c r="K12" s="18" t="n">
        <f aca="false">(Flujo!H$6*(1+$B12)-Flujo!H$8*(1+$C12)-Flujo!H$11*(1+$D12))-MAX(0,(Flujo!H$6*(1+$B12)-Flujo!H$8*(1+$C12)-Flujo!H$11*(1+$D12)))*Supuestos!$B$6+Flujo!H$11*(1+$D12)-Flujo!H$19*(1+$D12)-Flujo!H$21*(1+$B12)</f>
        <v>25130374.9022112</v>
      </c>
      <c r="L12" s="18" t="n">
        <f aca="false">(Flujo!I$6*(1+$B12)-Flujo!I$8*(1+$C12)-Flujo!I$11*(1+$D12))-MAX(0,(Flujo!I$6*(1+$B12)-Flujo!I$8*(1+$C12)-Flujo!I$11*(1+$D12)))*Supuestos!$B$6+Flujo!I$11*(1+$D12)-Flujo!I$19*(1+$D12)-Flujo!I$21*(1+$B12)</f>
        <v>41040886.1492775</v>
      </c>
      <c r="M12" s="18" t="n">
        <f aca="false">(Flujo!J$6*(1+$B12)-Flujo!J$8*(1+$C12)-Flujo!J$11*(1+$D12))-MAX(0,(Flujo!J$6*(1+$B12)-Flujo!J$8*(1+$C12)-Flujo!J$11*(1+$D12)))*Supuestos!$B$6+Flujo!J$11*(1+$D12)-Flujo!J$19*(1+$D12)-Flujo!J$21*(1+$B12)</f>
        <v>41978712.7337558</v>
      </c>
      <c r="N12" s="18" t="n">
        <f aca="false">(Flujo!K$6*(1+$B12)-Flujo!K$8*(1+$C12)-Flujo!K$11*(1+$D12))-MAX(0,(Flujo!K$6*(1+$B12)-Flujo!K$8*(1+$C12)-Flujo!K$11*(1+$D12)))*Supuestos!$B$6+Flujo!K$11*(1+$D12)-Flujo!K$19*(1+$D12)-Flujo!K$21*(1+$B12)</f>
        <v>42944674.1157685</v>
      </c>
      <c r="O12" s="18" t="n">
        <f aca="false">(Flujo!L$6*(1+$B12)-Flujo!L$8*(1+$C12)-Flujo!L$11*(1+$D12))-MAX(0,(Flujo!L$6*(1+$B12)-Flujo!L$8*(1+$C12)-Flujo!L$11*(1+$D12)))*Supuestos!$B$6+Flujo!L$11*(1+$D12)-Flujo!L$19*(1+$D12)-Flujo!L$21*(1+$B12)+Flujo!L$22*IF(Supuestos!$B$31="valor_libro",1+$D12,1)</f>
        <v>82061838.7358642</v>
      </c>
      <c r="P12" s="14" t="n">
        <f aca="false">E12+NPV(Supuestos!$B$4,F12:O12)</f>
        <v>24144376.8467262</v>
      </c>
    </row>
    <row r="13" customFormat="false" ht="15" hidden="false" customHeight="false" outlineLevel="0" collapsed="false">
      <c r="A13" s="3" t="s">
        <v>90</v>
      </c>
      <c r="B13" s="4" t="n">
        <v>0</v>
      </c>
      <c r="C13" s="4" t="n">
        <v>0.2</v>
      </c>
      <c r="D13" s="4" t="n">
        <v>0</v>
      </c>
      <c r="E13" s="18" t="n">
        <f aca="false">(Flujo!B$6*(1+$B13)-Flujo!B$8*(1+$C13)-Flujo!B$11*(1+$D13))-MAX(0,(Flujo!B$6*(1+$B13)-Flujo!B$8*(1+$C13)-Flujo!B$11*(1+$D13)))*Supuestos!$B$6+Flujo!B$11*(1+$D13)-Flujo!B$19*(1+$D13)-Flujo!B$21*(1+$B13)</f>
        <v>-222400000</v>
      </c>
      <c r="F13" s="18" t="n">
        <f aca="false">(Flujo!C$6*(1+$B13)-Flujo!C$8*(1+$C13)-Flujo!C$11*(1+$D13))-MAX(0,(Flujo!C$6*(1+$B13)-Flujo!C$8*(1+$C13)-Flujo!C$11*(1+$D13)))*Supuestos!$B$6+Flujo!C$11*(1+$D13)-Flujo!C$19*(1+$D13)-Flujo!C$21*(1+$B13)</f>
        <v>35559000</v>
      </c>
      <c r="G13" s="18" t="n">
        <f aca="false">(Flujo!D$6*(1+$B13)-Flujo!D$8*(1+$C13)-Flujo!D$11*(1+$D13))-MAX(0,(Flujo!D$6*(1+$B13)-Flujo!D$8*(1+$C13)-Flujo!D$11*(1+$D13)))*Supuestos!$B$6+Flujo!D$11*(1+$D13)-Flujo!D$19*(1+$D13)-Flujo!D$21*(1+$B13)</f>
        <v>36332370</v>
      </c>
      <c r="H13" s="18" t="n">
        <f aca="false">(Flujo!E$6*(1+$B13)-Flujo!E$8*(1+$C13)-Flujo!E$11*(1+$D13))-MAX(0,(Flujo!E$6*(1+$B13)-Flujo!E$8*(1+$C13)-Flujo!E$11*(1+$D13)))*Supuestos!$B$6+Flujo!E$11*(1+$D13)-Flujo!E$19*(1+$D13)-Flujo!E$21*(1+$B13)</f>
        <v>37128941.1</v>
      </c>
      <c r="I13" s="18" t="n">
        <f aca="false">(Flujo!F$6*(1+$B13)-Flujo!F$8*(1+$C13)-Flujo!F$11*(1+$D13))-MAX(0,(Flujo!F$6*(1+$B13)-Flujo!F$8*(1+$C13)-Flujo!F$11*(1+$D13)))*Supuestos!$B$6+Flujo!F$11*(1+$D13)-Flujo!F$19*(1+$D13)-Flujo!F$21*(1+$B13)</f>
        <v>37949409.333</v>
      </c>
      <c r="J13" s="18" t="n">
        <f aca="false">(Flujo!G$6*(1+$B13)-Flujo!G$8*(1+$C13)-Flujo!G$11*(1+$D13))-MAX(0,(Flujo!G$6*(1+$B13)-Flujo!G$8*(1+$C13)-Flujo!G$11*(1+$D13)))*Supuestos!$B$6+Flujo!G$11*(1+$D13)-Flujo!G$19*(1+$D13)-Flujo!G$21*(1+$B13)</f>
        <v>38794491.61299</v>
      </c>
      <c r="K13" s="18" t="n">
        <f aca="false">(Flujo!H$6*(1+$B13)-Flujo!H$8*(1+$C13)-Flujo!H$11*(1+$D13))-MAX(0,(Flujo!H$6*(1+$B13)-Flujo!H$8*(1+$C13)-Flujo!H$11*(1+$D13)))*Supuestos!$B$6+Flujo!H$11*(1+$D13)-Flujo!H$19*(1+$D13)-Flujo!H$21*(1+$B13)</f>
        <v>24664926.3613797</v>
      </c>
      <c r="L13" s="18" t="n">
        <f aca="false">(Flujo!I$6*(1+$B13)-Flujo!I$8*(1+$C13)-Flujo!I$11*(1+$D13))-MAX(0,(Flujo!I$6*(1+$B13)-Flujo!I$8*(1+$C13)-Flujo!I$11*(1+$D13)))*Supuestos!$B$6+Flujo!I$11*(1+$D13)-Flujo!I$19*(1+$D13)-Flujo!I$21*(1+$B13)</f>
        <v>40561474.1522211</v>
      </c>
      <c r="M13" s="18" t="n">
        <f aca="false">(Flujo!J$6*(1+$B13)-Flujo!J$8*(1+$C13)-Flujo!J$11*(1+$D13))-MAX(0,(Flujo!J$6*(1+$B13)-Flujo!J$8*(1+$C13)-Flujo!J$11*(1+$D13)))*Supuestos!$B$6+Flujo!J$11*(1+$D13)-Flujo!J$19*(1+$D13)-Flujo!J$21*(1+$B13)</f>
        <v>41484918.3767877</v>
      </c>
      <c r="N13" s="18" t="n">
        <f aca="false">(Flujo!K$6*(1+$B13)-Flujo!K$8*(1+$C13)-Flujo!K$11*(1+$D13))-MAX(0,(Flujo!K$6*(1+$B13)-Flujo!K$8*(1+$C13)-Flujo!K$11*(1+$D13)))*Supuestos!$B$6+Flujo!K$11*(1+$D13)-Flujo!K$19*(1+$D13)-Flujo!K$21*(1+$B13)</f>
        <v>42436065.9280914</v>
      </c>
      <c r="O13" s="18" t="n">
        <f aca="false">(Flujo!L$6*(1+$B13)-Flujo!L$8*(1+$C13)-Flujo!L$11*(1+$D13))-MAX(0,(Flujo!L$6*(1+$B13)-Flujo!L$8*(1+$C13)-Flujo!L$11*(1+$D13)))*Supuestos!$B$6+Flujo!L$11*(1+$D13)-Flujo!L$19*(1+$D13)-Flujo!L$21*(1+$B13)+Flujo!L$22*IF(Supuestos!$B$31="valor_libro",1+$D13,1)</f>
        <v>81537972.3025568</v>
      </c>
      <c r="P13" s="14" t="n">
        <f aca="false">E13+NPV(Supuestos!$B$4,F13:O13)</f>
        <v>21380553.7546782</v>
      </c>
    </row>
    <row r="14" customFormat="false" ht="15" hidden="false" customHeight="false" outlineLevel="0" collapsed="false">
      <c r="A14" s="3" t="s">
        <v>91</v>
      </c>
      <c r="B14" s="4" t="n">
        <v>0</v>
      </c>
      <c r="C14" s="4" t="n">
        <v>0</v>
      </c>
      <c r="D14" s="4" t="n">
        <v>-0.2</v>
      </c>
      <c r="E14" s="18" t="n">
        <f aca="false">(Flujo!B$6*(1+$B14)-Flujo!B$8*(1+$C14)-Flujo!B$11*(1+$D14))-MAX(0,(Flujo!B$6*(1+$B14)-Flujo!B$8*(1+$C14)-Flujo!B$11*(1+$D14)))*Supuestos!$B$6+Flujo!B$11*(1+$D14)-Flujo!B$19*(1+$D14)-Flujo!B$21*(1+$B14)</f>
        <v>-178400000</v>
      </c>
      <c r="F14" s="18" t="n">
        <f aca="false">(Flujo!C$6*(1+$B14)-Flujo!C$8*(1+$C14)-Flujo!C$11*(1+$D14))-MAX(0,(Flujo!C$6*(1+$B14)-Flujo!C$8*(1+$C14)-Flujo!C$11*(1+$D14)))*Supuestos!$B$6+Flujo!C$11*(1+$D14)-Flujo!C$19*(1+$D14)-Flujo!C$21*(1+$B14)</f>
        <v>35282000</v>
      </c>
      <c r="G14" s="18" t="n">
        <f aca="false">(Flujo!D$6*(1+$B14)-Flujo!D$8*(1+$C14)-Flujo!D$11*(1+$D14))-MAX(0,(Flujo!D$6*(1+$B14)-Flujo!D$8*(1+$C14)-Flujo!D$11*(1+$D14)))*Supuestos!$B$6+Flujo!D$11*(1+$D14)-Flujo!D$19*(1+$D14)-Flujo!D$21*(1+$B14)</f>
        <v>36079460</v>
      </c>
      <c r="H14" s="18" t="n">
        <f aca="false">(Flujo!E$6*(1+$B14)-Flujo!E$8*(1+$C14)-Flujo!E$11*(1+$D14))-MAX(0,(Flujo!E$6*(1+$B14)-Flujo!E$8*(1+$C14)-Flujo!E$11*(1+$D14)))*Supuestos!$B$6+Flujo!E$11*(1+$D14)-Flujo!E$19*(1+$D14)-Flujo!E$21*(1+$B14)</f>
        <v>36900843.8</v>
      </c>
      <c r="I14" s="18" t="n">
        <f aca="false">(Flujo!F$6*(1+$B14)-Flujo!F$8*(1+$C14)-Flujo!F$11*(1+$D14))-MAX(0,(Flujo!F$6*(1+$B14)-Flujo!F$8*(1+$C14)-Flujo!F$11*(1+$D14)))*Supuestos!$B$6+Flujo!F$11*(1+$D14)-Flujo!F$19*(1+$D14)-Flujo!F$21*(1+$B14)</f>
        <v>37746869.114</v>
      </c>
      <c r="J14" s="18" t="n">
        <f aca="false">(Flujo!G$6*(1+$B14)-Flujo!G$8*(1+$C14)-Flujo!G$11*(1+$D14))-MAX(0,(Flujo!G$6*(1+$B14)-Flujo!G$8*(1+$C14)-Flujo!G$11*(1+$D14)))*Supuestos!$B$6+Flujo!G$11*(1+$D14)-Flujo!G$19*(1+$D14)-Flujo!G$21*(1+$B14)</f>
        <v>38618275.18742</v>
      </c>
      <c r="K14" s="18" t="n">
        <f aca="false">(Flujo!H$6*(1+$B14)-Flujo!H$8*(1+$C14)-Flujo!H$11*(1+$D14))-MAX(0,(Flujo!H$6*(1+$B14)-Flujo!H$8*(1+$C14)-Flujo!H$11*(1+$D14)))*Supuestos!$B$6+Flujo!H$11*(1+$D14)-Flujo!H$19*(1+$D14)-Flujo!H$21*(1+$B14)</f>
        <v>27515823.4430426</v>
      </c>
      <c r="L14" s="18" t="n">
        <f aca="false">(Flujo!I$6*(1+$B14)-Flujo!I$8*(1+$C14)-Flujo!I$11*(1+$D14))-MAX(0,(Flujo!I$6*(1+$B14)-Flujo!I$8*(1+$C14)-Flujo!I$11*(1+$D14)))*Supuestos!$B$6+Flujo!I$11*(1+$D14)-Flujo!I$19*(1+$D14)-Flujo!I$21*(1+$B14)</f>
        <v>40440298.1463339</v>
      </c>
      <c r="M14" s="18" t="n">
        <f aca="false">(Flujo!J$6*(1+$B14)-Flujo!J$8*(1+$C14)-Flujo!J$11*(1+$D14))-MAX(0,(Flujo!J$6*(1+$B14)-Flujo!J$8*(1+$C14)-Flujo!J$11*(1+$D14)))*Supuestos!$B$6+Flujo!J$11*(1+$D14)-Flujo!J$19*(1+$D14)-Flujo!J$21*(1+$B14)</f>
        <v>41392507.0907239</v>
      </c>
      <c r="N14" s="18" t="n">
        <f aca="false">(Flujo!K$6*(1+$B14)-Flujo!K$8*(1+$C14)-Flujo!K$11*(1+$D14))-MAX(0,(Flujo!K$6*(1+$B14)-Flujo!K$8*(1+$C14)-Flujo!K$11*(1+$D14)))*Supuestos!$B$6+Flujo!K$11*(1+$D14)-Flujo!K$19*(1+$D14)-Flujo!K$21*(1+$B14)</f>
        <v>42373282.3034456</v>
      </c>
      <c r="O14" s="18" t="n">
        <f aca="false">(Flujo!L$6*(1+$B14)-Flujo!L$8*(1+$C14)-Flujo!L$11*(1+$D14))-MAX(0,(Flujo!L$6*(1+$B14)-Flujo!L$8*(1+$C14)-Flujo!L$11*(1+$D14)))*Supuestos!$B$6+Flujo!L$11*(1+$D14)-Flujo!L$19*(1+$D14)-Flujo!L$21*(1+$B14)+Flujo!L$22*IF(Supuestos!$B$31="valor_libro",1+$D14,1)</f>
        <v>74505705.1691717</v>
      </c>
      <c r="P14" s="14" t="n">
        <f aca="false">E14+NPV(Supuestos!$B$4,F14:O14)</f>
        <v>63266686.2287678</v>
      </c>
    </row>
    <row r="15" customFormat="false" ht="15" hidden="false" customHeight="false" outlineLevel="0" collapsed="false">
      <c r="A15" s="3" t="s">
        <v>92</v>
      </c>
      <c r="B15" s="4" t="n">
        <v>0</v>
      </c>
      <c r="C15" s="4" t="n">
        <v>0</v>
      </c>
      <c r="D15" s="4" t="n">
        <v>-0.1</v>
      </c>
      <c r="E15" s="18" t="n">
        <f aca="false">(Flujo!B$6*(1+$B15)-Flujo!B$8*(1+$C15)-Flujo!B$11*(1+$D15))-MAX(0,(Flujo!B$6*(1+$B15)-Flujo!B$8*(1+$C15)-Flujo!B$11*(1+$D15)))*Supuestos!$B$6+Flujo!B$11*(1+$D15)-Flujo!B$19*(1+$D15)-Flujo!B$21*(1+$B15)</f>
        <v>-200400000</v>
      </c>
      <c r="F15" s="18" t="n">
        <f aca="false">(Flujo!C$6*(1+$B15)-Flujo!C$8*(1+$C15)-Flujo!C$11*(1+$D15))-MAX(0,(Flujo!C$6*(1+$B15)-Flujo!C$8*(1+$C15)-Flujo!C$11*(1+$D15)))*Supuestos!$B$6+Flujo!C$11*(1+$D15)-Flujo!C$19*(1+$D15)-Flujo!C$21*(1+$B15)</f>
        <v>35822000</v>
      </c>
      <c r="G15" s="18" t="n">
        <f aca="false">(Flujo!D$6*(1+$B15)-Flujo!D$8*(1+$C15)-Flujo!D$11*(1+$D15))-MAX(0,(Flujo!D$6*(1+$B15)-Flujo!D$8*(1+$C15)-Flujo!D$11*(1+$D15)))*Supuestos!$B$6+Flujo!D$11*(1+$D15)-Flujo!D$19*(1+$D15)-Flujo!D$21*(1+$B15)</f>
        <v>36619460</v>
      </c>
      <c r="H15" s="18" t="n">
        <f aca="false">(Flujo!E$6*(1+$B15)-Flujo!E$8*(1+$C15)-Flujo!E$11*(1+$D15))-MAX(0,(Flujo!E$6*(1+$B15)-Flujo!E$8*(1+$C15)-Flujo!E$11*(1+$D15)))*Supuestos!$B$6+Flujo!E$11*(1+$D15)-Flujo!E$19*(1+$D15)-Flujo!E$21*(1+$B15)</f>
        <v>37440843.8</v>
      </c>
      <c r="I15" s="18" t="n">
        <f aca="false">(Flujo!F$6*(1+$B15)-Flujo!F$8*(1+$C15)-Flujo!F$11*(1+$D15))-MAX(0,(Flujo!F$6*(1+$B15)-Flujo!F$8*(1+$C15)-Flujo!F$11*(1+$D15)))*Supuestos!$B$6+Flujo!F$11*(1+$D15)-Flujo!F$19*(1+$D15)-Flujo!F$21*(1+$B15)</f>
        <v>38286869.114</v>
      </c>
      <c r="J15" s="18" t="n">
        <f aca="false">(Flujo!G$6*(1+$B15)-Flujo!G$8*(1+$C15)-Flujo!G$11*(1+$D15))-MAX(0,(Flujo!G$6*(1+$B15)-Flujo!G$8*(1+$C15)-Flujo!G$11*(1+$D15)))*Supuestos!$B$6+Flujo!G$11*(1+$D15)-Flujo!G$19*(1+$D15)-Flujo!G$21*(1+$B15)</f>
        <v>39158275.18742</v>
      </c>
      <c r="K15" s="18" t="n">
        <f aca="false">(Flujo!H$6*(1+$B15)-Flujo!H$8*(1+$C15)-Flujo!H$11*(1+$D15))-MAX(0,(Flujo!H$6*(1+$B15)-Flujo!H$8*(1+$C15)-Flujo!H$11*(1+$D15)))*Supuestos!$B$6+Flujo!H$11*(1+$D15)-Flujo!H$19*(1+$D15)-Flujo!H$21*(1+$B15)</f>
        <v>26555823.4430426</v>
      </c>
      <c r="L15" s="18" t="n">
        <f aca="false">(Flujo!I$6*(1+$B15)-Flujo!I$8*(1+$C15)-Flujo!I$11*(1+$D15))-MAX(0,(Flujo!I$6*(1+$B15)-Flujo!I$8*(1+$C15)-Flujo!I$11*(1+$D15)))*Supuestos!$B$6+Flujo!I$11*(1+$D15)-Flujo!I$19*(1+$D15)-Flujo!I$21*(1+$B15)</f>
        <v>40980298.1463339</v>
      </c>
      <c r="M15" s="18" t="n">
        <f aca="false">(Flujo!J$6*(1+$B15)-Flujo!J$8*(1+$C15)-Flujo!J$11*(1+$D15))-MAX(0,(Flujo!J$6*(1+$B15)-Flujo!J$8*(1+$C15)-Flujo!J$11*(1+$D15)))*Supuestos!$B$6+Flujo!J$11*(1+$D15)-Flujo!J$19*(1+$D15)-Flujo!J$21*(1+$B15)</f>
        <v>41932507.0907239</v>
      </c>
      <c r="N15" s="18" t="n">
        <f aca="false">(Flujo!K$6*(1+$B15)-Flujo!K$8*(1+$C15)-Flujo!K$11*(1+$D15))-MAX(0,(Flujo!K$6*(1+$B15)-Flujo!K$8*(1+$C15)-Flujo!K$11*(1+$D15)))*Supuestos!$B$6+Flujo!K$11*(1+$D15)-Flujo!K$19*(1+$D15)-Flujo!K$21*(1+$B15)</f>
        <v>42913282.3034456</v>
      </c>
      <c r="O15" s="18" t="n">
        <f aca="false">(Flujo!L$6*(1+$B15)-Flujo!L$8*(1+$C15)-Flujo!L$11*(1+$D15))-MAX(0,(Flujo!L$6*(1+$B15)-Flujo!L$8*(1+$C15)-Flujo!L$11*(1+$D15)))*Supuestos!$B$6+Flujo!L$11*(1+$D15)-Flujo!L$19*(1+$D15)-Flujo!L$21*(1+$B15)+Flujo!L$22*IF(Supuestos!$B$31="valor_libro",1+$D15,1)</f>
        <v>78545705.1691717</v>
      </c>
      <c r="P15" s="14" t="n">
        <f aca="false">E15+NPV(Supuestos!$B$4,F15:O15)</f>
        <v>45087443.083771</v>
      </c>
    </row>
    <row r="16" customFormat="false" ht="15" hidden="false" customHeight="false" outlineLevel="0" collapsed="false">
      <c r="A16" s="3" t="s">
        <v>93</v>
      </c>
      <c r="B16" s="4" t="n">
        <v>0</v>
      </c>
      <c r="C16" s="4" t="n">
        <v>0</v>
      </c>
      <c r="D16" s="4" t="n">
        <v>0.1</v>
      </c>
      <c r="E16" s="18" t="n">
        <f aca="false">(Flujo!B$6*(1+$B16)-Flujo!B$8*(1+$C16)-Flujo!B$11*(1+$D16))-MAX(0,(Flujo!B$6*(1+$B16)-Flujo!B$8*(1+$C16)-Flujo!B$11*(1+$D16)))*Supuestos!$B$6+Flujo!B$11*(1+$D16)-Flujo!B$19*(1+$D16)-Flujo!B$21*(1+$B16)</f>
        <v>-244400000</v>
      </c>
      <c r="F16" s="18" t="n">
        <f aca="false">(Flujo!C$6*(1+$B16)-Flujo!C$8*(1+$C16)-Flujo!C$11*(1+$D16))-MAX(0,(Flujo!C$6*(1+$B16)-Flujo!C$8*(1+$C16)-Flujo!C$11*(1+$D16)))*Supuestos!$B$6+Flujo!C$11*(1+$D16)-Flujo!C$19*(1+$D16)-Flujo!C$21*(1+$B16)</f>
        <v>36902000</v>
      </c>
      <c r="G16" s="18" t="n">
        <f aca="false">(Flujo!D$6*(1+$B16)-Flujo!D$8*(1+$C16)-Flujo!D$11*(1+$D16))-MAX(0,(Flujo!D$6*(1+$B16)-Flujo!D$8*(1+$C16)-Flujo!D$11*(1+$D16)))*Supuestos!$B$6+Flujo!D$11*(1+$D16)-Flujo!D$19*(1+$D16)-Flujo!D$21*(1+$B16)</f>
        <v>37699460</v>
      </c>
      <c r="H16" s="18" t="n">
        <f aca="false">(Flujo!E$6*(1+$B16)-Flujo!E$8*(1+$C16)-Flujo!E$11*(1+$D16))-MAX(0,(Flujo!E$6*(1+$B16)-Flujo!E$8*(1+$C16)-Flujo!E$11*(1+$D16)))*Supuestos!$B$6+Flujo!E$11*(1+$D16)-Flujo!E$19*(1+$D16)-Flujo!E$21*(1+$B16)</f>
        <v>38520843.8</v>
      </c>
      <c r="I16" s="18" t="n">
        <f aca="false">(Flujo!F$6*(1+$B16)-Flujo!F$8*(1+$C16)-Flujo!F$11*(1+$D16))-MAX(0,(Flujo!F$6*(1+$B16)-Flujo!F$8*(1+$C16)-Flujo!F$11*(1+$D16)))*Supuestos!$B$6+Flujo!F$11*(1+$D16)-Flujo!F$19*(1+$D16)-Flujo!F$21*(1+$B16)</f>
        <v>39366869.114</v>
      </c>
      <c r="J16" s="18" t="n">
        <f aca="false">(Flujo!G$6*(1+$B16)-Flujo!G$8*(1+$C16)-Flujo!G$11*(1+$D16))-MAX(0,(Flujo!G$6*(1+$B16)-Flujo!G$8*(1+$C16)-Flujo!G$11*(1+$D16)))*Supuestos!$B$6+Flujo!G$11*(1+$D16)-Flujo!G$19*(1+$D16)-Flujo!G$21*(1+$B16)</f>
        <v>40238275.18742</v>
      </c>
      <c r="K16" s="18" t="n">
        <f aca="false">(Flujo!H$6*(1+$B16)-Flujo!H$8*(1+$C16)-Flujo!H$11*(1+$D16))-MAX(0,(Flujo!H$6*(1+$B16)-Flujo!H$8*(1+$C16)-Flujo!H$11*(1+$D16)))*Supuestos!$B$6+Flujo!H$11*(1+$D16)-Flujo!H$19*(1+$D16)-Flujo!H$21*(1+$B16)</f>
        <v>24635823.4430426</v>
      </c>
      <c r="L16" s="18" t="n">
        <f aca="false">(Flujo!I$6*(1+$B16)-Flujo!I$8*(1+$C16)-Flujo!I$11*(1+$D16))-MAX(0,(Flujo!I$6*(1+$B16)-Flujo!I$8*(1+$C16)-Flujo!I$11*(1+$D16)))*Supuestos!$B$6+Flujo!I$11*(1+$D16)-Flujo!I$19*(1+$D16)-Flujo!I$21*(1+$B16)</f>
        <v>42060298.1463339</v>
      </c>
      <c r="M16" s="18" t="n">
        <f aca="false">(Flujo!J$6*(1+$B16)-Flujo!J$8*(1+$C16)-Flujo!J$11*(1+$D16))-MAX(0,(Flujo!J$6*(1+$B16)-Flujo!J$8*(1+$C16)-Flujo!J$11*(1+$D16)))*Supuestos!$B$6+Flujo!J$11*(1+$D16)-Flujo!J$19*(1+$D16)-Flujo!J$21*(1+$B16)</f>
        <v>43012507.0907239</v>
      </c>
      <c r="N16" s="18" t="n">
        <f aca="false">(Flujo!K$6*(1+$B16)-Flujo!K$8*(1+$C16)-Flujo!K$11*(1+$D16))-MAX(0,(Flujo!K$6*(1+$B16)-Flujo!K$8*(1+$C16)-Flujo!K$11*(1+$D16)))*Supuestos!$B$6+Flujo!K$11*(1+$D16)-Flujo!K$19*(1+$D16)-Flujo!K$21*(1+$B16)</f>
        <v>43993282.3034456</v>
      </c>
      <c r="O16" s="18" t="n">
        <f aca="false">(Flujo!L$6*(1+$B16)-Flujo!L$8*(1+$C16)-Flujo!L$11*(1+$D16))-MAX(0,(Flujo!L$6*(1+$B16)-Flujo!L$8*(1+$C16)-Flujo!L$11*(1+$D16)))*Supuestos!$B$6+Flujo!L$11*(1+$D16)-Flujo!L$19*(1+$D16)-Flujo!L$21*(1+$B16)+Flujo!L$22*IF(Supuestos!$B$31="valor_libro",1+$D16,1)</f>
        <v>86625705.1691717</v>
      </c>
      <c r="P16" s="14" t="n">
        <f aca="false">E16+NPV(Supuestos!$B$4,F16:O16)</f>
        <v>8728956.79377738</v>
      </c>
    </row>
    <row r="17" customFormat="false" ht="15" hidden="false" customHeight="false" outlineLevel="0" collapsed="false">
      <c r="A17" s="3" t="s">
        <v>94</v>
      </c>
      <c r="B17" s="4" t="n">
        <v>0</v>
      </c>
      <c r="C17" s="4" t="n">
        <v>0</v>
      </c>
      <c r="D17" s="4" t="n">
        <v>0.2</v>
      </c>
      <c r="E17" s="18" t="n">
        <f aca="false">(Flujo!B$6*(1+$B17)-Flujo!B$8*(1+$C17)-Flujo!B$11*(1+$D17))-MAX(0,(Flujo!B$6*(1+$B17)-Flujo!B$8*(1+$C17)-Flujo!B$11*(1+$D17)))*Supuestos!$B$6+Flujo!B$11*(1+$D17)-Flujo!B$19*(1+$D17)-Flujo!B$21*(1+$B17)</f>
        <v>-266400000</v>
      </c>
      <c r="F17" s="18" t="n">
        <f aca="false">(Flujo!C$6*(1+$B17)-Flujo!C$8*(1+$C17)-Flujo!C$11*(1+$D17))-MAX(0,(Flujo!C$6*(1+$B17)-Flujo!C$8*(1+$C17)-Flujo!C$11*(1+$D17)))*Supuestos!$B$6+Flujo!C$11*(1+$D17)-Flujo!C$19*(1+$D17)-Flujo!C$21*(1+$B17)</f>
        <v>37442000</v>
      </c>
      <c r="G17" s="18" t="n">
        <f aca="false">(Flujo!D$6*(1+$B17)-Flujo!D$8*(1+$C17)-Flujo!D$11*(1+$D17))-MAX(0,(Flujo!D$6*(1+$B17)-Flujo!D$8*(1+$C17)-Flujo!D$11*(1+$D17)))*Supuestos!$B$6+Flujo!D$11*(1+$D17)-Flujo!D$19*(1+$D17)-Flujo!D$21*(1+$B17)</f>
        <v>38239460</v>
      </c>
      <c r="H17" s="18" t="n">
        <f aca="false">(Flujo!E$6*(1+$B17)-Flujo!E$8*(1+$C17)-Flujo!E$11*(1+$D17))-MAX(0,(Flujo!E$6*(1+$B17)-Flujo!E$8*(1+$C17)-Flujo!E$11*(1+$D17)))*Supuestos!$B$6+Flujo!E$11*(1+$D17)-Flujo!E$19*(1+$D17)-Flujo!E$21*(1+$B17)</f>
        <v>39060843.8</v>
      </c>
      <c r="I17" s="18" t="n">
        <f aca="false">(Flujo!F$6*(1+$B17)-Flujo!F$8*(1+$C17)-Flujo!F$11*(1+$D17))-MAX(0,(Flujo!F$6*(1+$B17)-Flujo!F$8*(1+$C17)-Flujo!F$11*(1+$D17)))*Supuestos!$B$6+Flujo!F$11*(1+$D17)-Flujo!F$19*(1+$D17)-Flujo!F$21*(1+$B17)</f>
        <v>39906869.114</v>
      </c>
      <c r="J17" s="18" t="n">
        <f aca="false">(Flujo!G$6*(1+$B17)-Flujo!G$8*(1+$C17)-Flujo!G$11*(1+$D17))-MAX(0,(Flujo!G$6*(1+$B17)-Flujo!G$8*(1+$C17)-Flujo!G$11*(1+$D17)))*Supuestos!$B$6+Flujo!G$11*(1+$D17)-Flujo!G$19*(1+$D17)-Flujo!G$21*(1+$B17)</f>
        <v>40778275.18742</v>
      </c>
      <c r="K17" s="18" t="n">
        <f aca="false">(Flujo!H$6*(1+$B17)-Flujo!H$8*(1+$C17)-Flujo!H$11*(1+$D17))-MAX(0,(Flujo!H$6*(1+$B17)-Flujo!H$8*(1+$C17)-Flujo!H$11*(1+$D17)))*Supuestos!$B$6+Flujo!H$11*(1+$D17)-Flujo!H$19*(1+$D17)-Flujo!H$21*(1+$B17)</f>
        <v>23675823.4430426</v>
      </c>
      <c r="L17" s="18" t="n">
        <f aca="false">(Flujo!I$6*(1+$B17)-Flujo!I$8*(1+$C17)-Flujo!I$11*(1+$D17))-MAX(0,(Flujo!I$6*(1+$B17)-Flujo!I$8*(1+$C17)-Flujo!I$11*(1+$D17)))*Supuestos!$B$6+Flujo!I$11*(1+$D17)-Flujo!I$19*(1+$D17)-Flujo!I$21*(1+$B17)</f>
        <v>42600298.1463339</v>
      </c>
      <c r="M17" s="18" t="n">
        <f aca="false">(Flujo!J$6*(1+$B17)-Flujo!J$8*(1+$C17)-Flujo!J$11*(1+$D17))-MAX(0,(Flujo!J$6*(1+$B17)-Flujo!J$8*(1+$C17)-Flujo!J$11*(1+$D17)))*Supuestos!$B$6+Flujo!J$11*(1+$D17)-Flujo!J$19*(1+$D17)-Flujo!J$21*(1+$B17)</f>
        <v>43552507.0907239</v>
      </c>
      <c r="N17" s="18" t="n">
        <f aca="false">(Flujo!K$6*(1+$B17)-Flujo!K$8*(1+$C17)-Flujo!K$11*(1+$D17))-MAX(0,(Flujo!K$6*(1+$B17)-Flujo!K$8*(1+$C17)-Flujo!K$11*(1+$D17)))*Supuestos!$B$6+Flujo!K$11*(1+$D17)-Flujo!K$19*(1+$D17)-Flujo!K$21*(1+$B17)</f>
        <v>44533282.3034456</v>
      </c>
      <c r="O17" s="18" t="n">
        <f aca="false">(Flujo!L$6*(1+$B17)-Flujo!L$8*(1+$C17)-Flujo!L$11*(1+$D17))-MAX(0,(Flujo!L$6*(1+$B17)-Flujo!L$8*(1+$C17)-Flujo!L$11*(1+$D17)))*Supuestos!$B$6+Flujo!L$11*(1+$D17)-Flujo!L$19*(1+$D17)-Flujo!L$21*(1+$B17)+Flujo!L$22*IF(Supuestos!$B$31="valor_libro",1+$D17,1)</f>
        <v>90665705.1691717</v>
      </c>
      <c r="P17" s="14" t="n">
        <f aca="false">E17+NPV(Supuestos!$B$4,F17:O17)</f>
        <v>-9450286.35121936</v>
      </c>
    </row>
    <row r="19" customFormat="false" ht="15" hidden="false" customHeight="false" outlineLevel="0" collapsed="false">
      <c r="A19" s="7" t="s">
        <v>95</v>
      </c>
    </row>
    <row r="20" customFormat="false" ht="15" hidden="false" customHeight="false" outlineLevel="0" collapsed="false">
      <c r="A20" s="3" t="s">
        <v>96</v>
      </c>
      <c r="B20" s="19" t="n">
        <f aca="false">Supuestos!$B$4+(-0.02)</f>
        <v>0.08</v>
      </c>
      <c r="C20" s="18" t="n">
        <f aca="false">Flujo!$B$23+NPV(B20,Flujo!$C$23:$L$23)</f>
        <v>52127671.5483453</v>
      </c>
    </row>
    <row r="21" customFormat="false" ht="15" hidden="false" customHeight="false" outlineLevel="0" collapsed="false">
      <c r="A21" s="3" t="s">
        <v>97</v>
      </c>
      <c r="B21" s="19" t="n">
        <f aca="false">Supuestos!$B$4+(-0.01)</f>
        <v>0.09</v>
      </c>
      <c r="C21" s="18" t="n">
        <f aca="false">Flujo!$B$23+NPV(B21,Flujo!$C$23:$L$23)</f>
        <v>39053965.114582</v>
      </c>
    </row>
    <row r="22" customFormat="false" ht="15" hidden="false" customHeight="false" outlineLevel="0" collapsed="false">
      <c r="A22" s="3" t="s">
        <v>98</v>
      </c>
      <c r="B22" s="19" t="n">
        <f aca="false">Supuestos!$B$4+(0)</f>
        <v>0.1</v>
      </c>
      <c r="C22" s="18" t="n">
        <f aca="false">Flujo!$B$23+NPV(B22,Flujo!$C$23:$L$23)</f>
        <v>26908199.9387742</v>
      </c>
    </row>
    <row r="23" customFormat="false" ht="15" hidden="false" customHeight="false" outlineLevel="0" collapsed="false">
      <c r="A23" s="3" t="s">
        <v>99</v>
      </c>
      <c r="B23" s="19" t="n">
        <f aca="false">Supuestos!$B$4+(0.01)</f>
        <v>0.11</v>
      </c>
      <c r="C23" s="18" t="n">
        <f aca="false">Flujo!$B$23+NPV(B23,Flujo!$C$23:$L$23)</f>
        <v>15610218.432685</v>
      </c>
    </row>
    <row r="24" customFormat="false" ht="15" hidden="false" customHeight="false" outlineLevel="0" collapsed="false">
      <c r="A24" s="3" t="s">
        <v>100</v>
      </c>
      <c r="B24" s="19" t="n">
        <f aca="false">Supuestos!$B$4+(0.02)</f>
        <v>0.12</v>
      </c>
      <c r="C24" s="18" t="n">
        <f aca="false">Flujo!$B$23+NPV(B24,Flujo!$C$23:$L$23)</f>
        <v>5087748.84870642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2026-09-28T07:56:05Z</dcterms:created>
  <dc:creator>openpyxl</dc:creator>
  <dc:description/>
  <dc:language>en-US</dc:language>
  <cp:lastModifiedBy/>
  <dcterms:modified xsi:type="dcterms:W3CDTF">2026-09-28T07:56:05Z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