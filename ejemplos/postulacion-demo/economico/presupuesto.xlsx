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Controles" sheetId="4" state="visible" r:id="rId4"/>
    <sheet xmlns:r="http://schemas.openxmlformats.org/officeDocument/2006/relationships" name="Cronogra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[Red]-#,##0"/>
    <numFmt numFmtId="166" formatCode="#,##0.##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5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0" customWidth="1" min="3" max="3"/>
  </cols>
  <sheetData>
    <row r="1">
      <c r="A1" s="1" t="inlineStr">
        <is>
          <t>Parámetros de las bases — Riego inteligente AgroSur</t>
        </is>
      </c>
    </row>
    <row r="2">
      <c r="A2" t="inlineStr">
        <is>
          <t>Azul = entrada tomada de las bases (vacío = las bases no fijan esa regla). La fuente es presupuesto.yaml: este Excel sirve para revisar y simular; los cambios definitivos van al YAML.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Fuente</t>
        </is>
      </c>
    </row>
    <row r="4">
      <c r="A4" s="3" t="inlineStr">
        <is>
          <t>Financiamiento máximo de la entidad (% del costo total)</t>
        </is>
      </c>
      <c r="B4" s="4" t="n">
        <v>0.7</v>
      </c>
      <c r="C4" s="3" t="inlineStr">
        <is>
          <t>Bases B01, numeral 3</t>
        </is>
      </c>
    </row>
    <row r="5">
      <c r="A5" s="3" t="inlineStr">
        <is>
          <t>Financiamiento máximo de la entidad (monto)</t>
        </is>
      </c>
      <c r="B5" s="5" t="n">
        <v>40000000</v>
      </c>
      <c r="C5" s="3" t="inlineStr">
        <is>
          <t>Bases B01, numeral 3</t>
        </is>
      </c>
    </row>
    <row r="6">
      <c r="A6" s="3" t="inlineStr">
        <is>
          <t>Aporte propio mínimo (% del costo total)</t>
        </is>
      </c>
      <c r="B6" s="4" t="n">
        <v>0.3</v>
      </c>
      <c r="C6" s="3" t="inlineStr">
        <is>
          <t>Bases B01, numeral 3</t>
        </is>
      </c>
    </row>
    <row r="7">
      <c r="A7" s="3" t="inlineStr">
        <is>
          <t>Aporte pecuniario mínimo (% del aporte propio)</t>
        </is>
      </c>
      <c r="B7" s="4" t="n">
        <v>0.5</v>
      </c>
      <c r="C7" s="3" t="inlineStr">
        <is>
          <t>Bases B01, numeral 3</t>
        </is>
      </c>
    </row>
    <row r="9">
      <c r="A9" s="6" t="inlineStr">
        <is>
          <t>Ítems de gasto</t>
        </is>
      </c>
    </row>
    <row r="10">
      <c r="A10" s="2" t="inlineStr">
        <is>
          <t>Ítem</t>
        </is>
      </c>
      <c r="B10" s="2" t="inlineStr">
        <is>
          <t>Nombre</t>
        </is>
      </c>
      <c r="C10" s="2" t="inlineStr">
        <is>
          <t>Tope (% del costo total)</t>
        </is>
      </c>
    </row>
    <row r="11">
      <c r="A11" s="7" t="inlineStr">
        <is>
          <t>RRHH</t>
        </is>
      </c>
      <c r="B11" s="7" t="inlineStr">
        <is>
          <t>Recursos humanos</t>
        </is>
      </c>
      <c r="C11" s="4" t="n"/>
    </row>
    <row r="12">
      <c r="A12" s="7" t="inlineStr">
        <is>
          <t>OPE</t>
        </is>
      </c>
      <c r="B12" s="7" t="inlineStr">
        <is>
          <t>Gastos de operación</t>
        </is>
      </c>
      <c r="C12" s="4" t="n"/>
    </row>
    <row r="13">
      <c r="A13" s="7" t="inlineStr">
        <is>
          <t>INV</t>
        </is>
      </c>
      <c r="B13" s="7" t="inlineStr">
        <is>
          <t>Inversión</t>
        </is>
      </c>
      <c r="C13" s="4" t="n"/>
    </row>
    <row r="14">
      <c r="A14" s="7" t="inlineStr">
        <is>
          <t>ADM</t>
        </is>
      </c>
      <c r="B14" s="7" t="inlineStr">
        <is>
          <t>Gastos de administración</t>
        </is>
      </c>
      <c r="C14" s="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3" customWidth="1" min="9" max="9"/>
    <col width="10" customWidth="1" min="10" max="10"/>
    <col width="9" customWidth="1" min="11" max="11"/>
    <col width="15" customWidth="1" min="12" max="12"/>
    <col width="15" customWidth="1" min="13" max="13"/>
    <col width="15" customWidth="1" min="14" max="14"/>
    <col width="14" customWidth="1" min="15" max="15"/>
  </cols>
  <sheetData>
    <row r="1">
      <c r="A1" s="1" t="inlineStr">
        <is>
          <t>Presupuesto — Riego inteligente AgroSur (CLP)</t>
        </is>
      </c>
    </row>
    <row r="2">
      <c r="A2" t="inlineStr">
        <is>
          <t>Azul = entrada. Las fuentes de cada partida son fracciones que deben sumar 100%.</t>
        </is>
      </c>
    </row>
    <row r="3">
      <c r="A3" s="2" t="inlineStr">
        <is>
          <t>Ítem</t>
        </is>
      </c>
      <c r="B3" s="2" t="inlineStr">
        <is>
          <t>Descripción</t>
        </is>
      </c>
      <c r="C3" s="2" t="inlineStr">
        <is>
          <t>Unidad</t>
        </is>
      </c>
      <c r="D3" s="2" t="inlineStr">
        <is>
          <t>Cantidad</t>
        </is>
      </c>
      <c r="E3" s="2" t="inlineStr">
        <is>
          <t>Costo unitario</t>
        </is>
      </c>
      <c r="F3" s="2" t="inlineStr">
        <is>
          <t>Costo total</t>
        </is>
      </c>
      <c r="G3" s="2" t="inlineStr">
        <is>
          <t>% Entidad</t>
        </is>
      </c>
      <c r="H3" s="2" t="inlineStr">
        <is>
          <t>% Propio pecuniario</t>
        </is>
      </c>
      <c r="I3" s="2" t="inlineStr">
        <is>
          <t>% Propio no pecuniario</t>
        </is>
      </c>
      <c r="J3" s="2" t="inlineStr">
        <is>
          <t>% Terceros</t>
        </is>
      </c>
      <c r="K3" s="2" t="inlineStr">
        <is>
          <t>Suma %</t>
        </is>
      </c>
      <c r="L3" s="2" t="inlineStr">
        <is>
          <t>Entidad</t>
        </is>
      </c>
      <c r="M3" s="2" t="inlineStr">
        <is>
          <t>Propio pecuniario</t>
        </is>
      </c>
      <c r="N3" s="2" t="inlineStr">
        <is>
          <t>Propio no pecuniario</t>
        </is>
      </c>
      <c r="O3" s="2" t="inlineStr">
        <is>
          <t>Terceros</t>
        </is>
      </c>
    </row>
    <row r="4">
      <c r="A4" s="7" t="inlineStr">
        <is>
          <t>RRHH</t>
        </is>
      </c>
      <c r="B4" s="7" t="inlineStr">
        <is>
          <t>Directora del proyecto (horas del equipo AgroSur)</t>
        </is>
      </c>
      <c r="C4" s="7" t="inlineStr">
        <is>
          <t>mes</t>
        </is>
      </c>
      <c r="D4" s="8" t="n">
        <v>12</v>
      </c>
      <c r="E4" s="5" t="n">
        <v>1000000</v>
      </c>
      <c r="F4" s="9">
        <f>D4*E4</f>
        <v/>
      </c>
      <c r="G4" s="4" t="n">
        <v>0</v>
      </c>
      <c r="H4" s="4" t="n">
        <v>0</v>
      </c>
      <c r="I4" s="4" t="n">
        <v>1</v>
      </c>
      <c r="J4" s="4" t="n">
        <v>0</v>
      </c>
      <c r="K4" s="10">
        <f>SUM(G4:J4)</f>
        <v/>
      </c>
      <c r="L4" s="9">
        <f>$F4*G4</f>
        <v/>
      </c>
      <c r="M4" s="9">
        <f>$F4*H4</f>
        <v/>
      </c>
      <c r="N4" s="9">
        <f>$F4*I4</f>
        <v/>
      </c>
      <c r="O4" s="9">
        <f>$F4*J4</f>
        <v/>
      </c>
    </row>
    <row r="5">
      <c r="A5" s="7" t="inlineStr">
        <is>
          <t>RRHH</t>
        </is>
      </c>
      <c r="B5" s="7" t="inlineStr">
        <is>
          <t>Ingeniero IoT</t>
        </is>
      </c>
      <c r="C5" s="7" t="inlineStr">
        <is>
          <t>mes</t>
        </is>
      </c>
      <c r="D5" s="8" t="n">
        <v>12</v>
      </c>
      <c r="E5" s="5" t="n">
        <v>1500000</v>
      </c>
      <c r="F5" s="9">
        <f>D5*E5</f>
        <v/>
      </c>
      <c r="G5" s="4" t="n">
        <v>1</v>
      </c>
      <c r="H5" s="4" t="n">
        <v>0</v>
      </c>
      <c r="I5" s="4" t="n">
        <v>0</v>
      </c>
      <c r="J5" s="4" t="n">
        <v>0</v>
      </c>
      <c r="K5" s="10">
        <f>SUM(G5:J5)</f>
        <v/>
      </c>
      <c r="L5" s="9">
        <f>$F5*G5</f>
        <v/>
      </c>
      <c r="M5" s="9">
        <f>$F5*H5</f>
        <v/>
      </c>
      <c r="N5" s="9">
        <f>$F5*I5</f>
        <v/>
      </c>
      <c r="O5" s="9">
        <f>$F5*J5</f>
        <v/>
      </c>
    </row>
    <row r="6">
      <c r="A6" s="7" t="inlineStr">
        <is>
          <t>INV</t>
        </is>
      </c>
      <c r="B6" s="7" t="inlineStr">
        <is>
          <t>Sensores y gateways</t>
        </is>
      </c>
      <c r="C6" s="7" t="inlineStr">
        <is>
          <t>unidad</t>
        </is>
      </c>
      <c r="D6" s="8" t="n">
        <v>60</v>
      </c>
      <c r="E6" s="5" t="n">
        <v>150000</v>
      </c>
      <c r="F6" s="9">
        <f>D6*E6</f>
        <v/>
      </c>
      <c r="G6" s="4" t="n">
        <v>1</v>
      </c>
      <c r="H6" s="4" t="n">
        <v>0</v>
      </c>
      <c r="I6" s="4" t="n">
        <v>0</v>
      </c>
      <c r="J6" s="4" t="n">
        <v>0</v>
      </c>
      <c r="K6" s="10">
        <f>SUM(G6:J6)</f>
        <v/>
      </c>
      <c r="L6" s="9">
        <f>$F6*G6</f>
        <v/>
      </c>
      <c r="M6" s="9">
        <f>$F6*H6</f>
        <v/>
      </c>
      <c r="N6" s="9">
        <f>$F6*I6</f>
        <v/>
      </c>
      <c r="O6" s="9">
        <f>$F6*J6</f>
        <v/>
      </c>
    </row>
    <row r="7">
      <c r="A7" s="7" t="inlineStr">
        <is>
          <t>OPE</t>
        </is>
      </c>
      <c r="B7" s="7" t="inlineStr">
        <is>
          <t>Validación en 6 predios</t>
        </is>
      </c>
      <c r="C7" s="7" t="inlineStr">
        <is>
          <t>predio</t>
        </is>
      </c>
      <c r="D7" s="8" t="n">
        <v>6</v>
      </c>
      <c r="E7" s="5" t="n">
        <v>1000000</v>
      </c>
      <c r="F7" s="9">
        <f>D7*E7</f>
        <v/>
      </c>
      <c r="G7" s="4" t="n">
        <v>1</v>
      </c>
      <c r="H7" s="4" t="n">
        <v>0</v>
      </c>
      <c r="I7" s="4" t="n">
        <v>0</v>
      </c>
      <c r="J7" s="4" t="n">
        <v>0</v>
      </c>
      <c r="K7" s="10">
        <f>SUM(G7:J7)</f>
        <v/>
      </c>
      <c r="L7" s="9">
        <f>$F7*G7</f>
        <v/>
      </c>
      <c r="M7" s="9">
        <f>$F7*H7</f>
        <v/>
      </c>
      <c r="N7" s="9">
        <f>$F7*I7</f>
        <v/>
      </c>
      <c r="O7" s="9">
        <f>$F7*J7</f>
        <v/>
      </c>
    </row>
    <row r="8">
      <c r="A8" s="7" t="inlineStr">
        <is>
          <t>OPE</t>
        </is>
      </c>
      <c r="B8" s="7" t="inlineStr">
        <is>
          <t>Uso de oficina y bodega (valorizado)</t>
        </is>
      </c>
      <c r="C8" s="7" t="inlineStr">
        <is>
          <t>global</t>
        </is>
      </c>
      <c r="D8" s="8" t="n">
        <v>1</v>
      </c>
      <c r="E8" s="5" t="n">
        <v>1000000</v>
      </c>
      <c r="F8" s="9">
        <f>D8*E8</f>
        <v/>
      </c>
      <c r="G8" s="4" t="n">
        <v>0</v>
      </c>
      <c r="H8" s="4" t="n">
        <v>0</v>
      </c>
      <c r="I8" s="4" t="n">
        <v>1</v>
      </c>
      <c r="J8" s="4" t="n">
        <v>0</v>
      </c>
      <c r="K8" s="10">
        <f>SUM(G8:J8)</f>
        <v/>
      </c>
      <c r="L8" s="9">
        <f>$F8*G8</f>
        <v/>
      </c>
      <c r="M8" s="9">
        <f>$F8*H8</f>
        <v/>
      </c>
      <c r="N8" s="9">
        <f>$F8*I8</f>
        <v/>
      </c>
      <c r="O8" s="9">
        <f>$F8*J8</f>
        <v/>
      </c>
    </row>
    <row r="9">
      <c r="A9" s="7" t="inlineStr">
        <is>
          <t>OPE</t>
        </is>
      </c>
      <c r="B9" s="7" t="inlineStr">
        <is>
          <t>Difusión y capacitación a productores</t>
        </is>
      </c>
      <c r="C9" s="7" t="inlineStr">
        <is>
          <t>global</t>
        </is>
      </c>
      <c r="D9" s="8" t="n">
        <v>1</v>
      </c>
      <c r="E9" s="5" t="n">
        <v>4000000</v>
      </c>
      <c r="F9" s="9">
        <f>D9*E9</f>
        <v/>
      </c>
      <c r="G9" s="4" t="n">
        <v>1</v>
      </c>
      <c r="H9" s="4" t="n">
        <v>0</v>
      </c>
      <c r="I9" s="4" t="n">
        <v>0</v>
      </c>
      <c r="J9" s="4" t="n">
        <v>0</v>
      </c>
      <c r="K9" s="10">
        <f>SUM(G9:J9)</f>
        <v/>
      </c>
      <c r="L9" s="9">
        <f>$F9*G9</f>
        <v/>
      </c>
      <c r="M9" s="9">
        <f>$F9*H9</f>
        <v/>
      </c>
      <c r="N9" s="9">
        <f>$F9*I9</f>
        <v/>
      </c>
      <c r="O9" s="9">
        <f>$F9*J9</f>
        <v/>
      </c>
    </row>
    <row r="10">
      <c r="A10" s="7" t="inlineStr">
        <is>
          <t>ADM</t>
        </is>
      </c>
      <c r="B10" s="7" t="inlineStr">
        <is>
          <t>Administración del proyecto</t>
        </is>
      </c>
      <c r="C10" s="7" t="inlineStr">
        <is>
          <t>global</t>
        </is>
      </c>
      <c r="D10" s="8" t="n">
        <v>1</v>
      </c>
      <c r="E10" s="5" t="n">
        <v>5000000</v>
      </c>
      <c r="F10" s="9">
        <f>D10*E10</f>
        <v/>
      </c>
      <c r="G10" s="4" t="n">
        <v>0.6</v>
      </c>
      <c r="H10" s="4" t="n">
        <v>0.4</v>
      </c>
      <c r="I10" s="4" t="n">
        <v>0</v>
      </c>
      <c r="J10" s="4" t="n">
        <v>0</v>
      </c>
      <c r="K10" s="10">
        <f>SUM(G10:J10)</f>
        <v/>
      </c>
      <c r="L10" s="9">
        <f>$F10*G10</f>
        <v/>
      </c>
      <c r="M10" s="9">
        <f>$F10*H10</f>
        <v/>
      </c>
      <c r="N10" s="9">
        <f>$F10*I10</f>
        <v/>
      </c>
      <c r="O10" s="9">
        <f>$F10*J10</f>
        <v/>
      </c>
    </row>
    <row r="11">
      <c r="B11" s="6" t="inlineStr">
        <is>
          <t>Total</t>
        </is>
      </c>
      <c r="F11" s="11">
        <f>SUM(F4:F10)</f>
        <v/>
      </c>
      <c r="L11" s="11">
        <f>SUM(L4:L10)</f>
        <v/>
      </c>
      <c r="M11" s="11">
        <f>SUM(M4:M10)</f>
        <v/>
      </c>
      <c r="N11" s="11">
        <f>SUM(N4:N10)</f>
        <v/>
      </c>
      <c r="O11" s="11">
        <f>SUM(O4:O10)</f>
        <v/>
      </c>
    </row>
  </sheetData>
  <conditionalFormatting sqref="K4:K10">
    <cfRule type="cellIs" priority="1" operator="notBetween" dxfId="0">
      <formula>0.9999</formula>
      <formula>1.0001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1" customWidth="1" min="4" max="4"/>
    <col width="10" customWidth="1" min="5" max="5"/>
    <col width="12" customWidth="1" min="6" max="6"/>
    <col width="15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Resumen por ítem y por fuente</t>
        </is>
      </c>
    </row>
    <row r="3">
      <c r="A3" s="2" t="inlineStr">
        <is>
          <t>Ítem</t>
        </is>
      </c>
      <c r="B3" s="2" t="inlineStr">
        <is>
          <t>Nombre</t>
        </is>
      </c>
      <c r="C3" s="2" t="inlineStr">
        <is>
          <t>Costo total</t>
        </is>
      </c>
      <c r="D3" s="2" t="inlineStr">
        <is>
          <t>% del total</t>
        </is>
      </c>
      <c r="E3" s="2" t="inlineStr">
        <is>
          <t>Tope</t>
        </is>
      </c>
      <c r="F3" s="2" t="inlineStr">
        <is>
          <t>Estado</t>
        </is>
      </c>
      <c r="G3" s="2" t="inlineStr">
        <is>
          <t>Entidad</t>
        </is>
      </c>
      <c r="H3" s="2" t="inlineStr">
        <is>
          <t>Propio pecuniario</t>
        </is>
      </c>
      <c r="I3" s="2" t="inlineStr">
        <is>
          <t>Propio no pecuniario</t>
        </is>
      </c>
      <c r="J3" s="2" t="inlineStr">
        <is>
          <t>Terceros</t>
        </is>
      </c>
    </row>
    <row r="4">
      <c r="A4" s="3">
        <f>Parametros!A11</f>
        <v/>
      </c>
      <c r="B4" s="3">
        <f>Parametros!B11</f>
        <v/>
      </c>
      <c r="C4" s="9">
        <f>SUMIF(Presupuesto!$A$4:$A$10,A4,Presupuesto!$F$4:$F$10)</f>
        <v/>
      </c>
      <c r="D4" s="10">
        <f>IFERROR(C4/Presupuesto!$F$11,0)</f>
        <v/>
      </c>
      <c r="E4" s="10">
        <f>IF(Parametros!C11="","",Parametros!C11)</f>
        <v/>
      </c>
      <c r="F4" s="3">
        <f>IF(E4="","SIN TOPE",IF(D4&lt;=E4+0.0000001,"CUMPLE","NO CUMPLE"))</f>
        <v/>
      </c>
      <c r="G4" s="9">
        <f>SUMIF(Presupuesto!$A$4:$A$10,A4,Presupuesto!$L$4:$L$10)</f>
        <v/>
      </c>
      <c r="H4" s="9">
        <f>SUMIF(Presupuesto!$A$4:$A$10,A4,Presupuesto!$M$4:$M$10)</f>
        <v/>
      </c>
      <c r="I4" s="9">
        <f>SUMIF(Presupuesto!$A$4:$A$10,A4,Presupuesto!$N$4:$N$10)</f>
        <v/>
      </c>
      <c r="J4" s="9">
        <f>SUMIF(Presupuesto!$A$4:$A$10,A4,Presupuesto!$O$4:$O$10)</f>
        <v/>
      </c>
    </row>
    <row r="5">
      <c r="A5" s="3">
        <f>Parametros!A12</f>
        <v/>
      </c>
      <c r="B5" s="3">
        <f>Parametros!B12</f>
        <v/>
      </c>
      <c r="C5" s="9">
        <f>SUMIF(Presupuesto!$A$4:$A$10,A5,Presupuesto!$F$4:$F$10)</f>
        <v/>
      </c>
      <c r="D5" s="10">
        <f>IFERROR(C5/Presupuesto!$F$11,0)</f>
        <v/>
      </c>
      <c r="E5" s="10">
        <f>IF(Parametros!C12="","",Parametros!C12)</f>
        <v/>
      </c>
      <c r="F5" s="3">
        <f>IF(E5="","SIN TOPE",IF(D5&lt;=E5+0.0000001,"CUMPLE","NO CUMPLE"))</f>
        <v/>
      </c>
      <c r="G5" s="9">
        <f>SUMIF(Presupuesto!$A$4:$A$10,A5,Presupuesto!$L$4:$L$10)</f>
        <v/>
      </c>
      <c r="H5" s="9">
        <f>SUMIF(Presupuesto!$A$4:$A$10,A5,Presupuesto!$M$4:$M$10)</f>
        <v/>
      </c>
      <c r="I5" s="9">
        <f>SUMIF(Presupuesto!$A$4:$A$10,A5,Presupuesto!$N$4:$N$10)</f>
        <v/>
      </c>
      <c r="J5" s="9">
        <f>SUMIF(Presupuesto!$A$4:$A$10,A5,Presupuesto!$O$4:$O$10)</f>
        <v/>
      </c>
    </row>
    <row r="6">
      <c r="A6" s="3">
        <f>Parametros!A13</f>
        <v/>
      </c>
      <c r="B6" s="3">
        <f>Parametros!B13</f>
        <v/>
      </c>
      <c r="C6" s="9">
        <f>SUMIF(Presupuesto!$A$4:$A$10,A6,Presupuesto!$F$4:$F$10)</f>
        <v/>
      </c>
      <c r="D6" s="10">
        <f>IFERROR(C6/Presupuesto!$F$11,0)</f>
        <v/>
      </c>
      <c r="E6" s="10">
        <f>IF(Parametros!C13="","",Parametros!C13)</f>
        <v/>
      </c>
      <c r="F6" s="3">
        <f>IF(E6="","SIN TOPE",IF(D6&lt;=E6+0.0000001,"CUMPLE","NO CUMPLE"))</f>
        <v/>
      </c>
      <c r="G6" s="9">
        <f>SUMIF(Presupuesto!$A$4:$A$10,A6,Presupuesto!$L$4:$L$10)</f>
        <v/>
      </c>
      <c r="H6" s="9">
        <f>SUMIF(Presupuesto!$A$4:$A$10,A6,Presupuesto!$M$4:$M$10)</f>
        <v/>
      </c>
      <c r="I6" s="9">
        <f>SUMIF(Presupuesto!$A$4:$A$10,A6,Presupuesto!$N$4:$N$10)</f>
        <v/>
      </c>
      <c r="J6" s="9">
        <f>SUMIF(Presupuesto!$A$4:$A$10,A6,Presupuesto!$O$4:$O$10)</f>
        <v/>
      </c>
    </row>
    <row r="7">
      <c r="A7" s="3">
        <f>Parametros!A14</f>
        <v/>
      </c>
      <c r="B7" s="3">
        <f>Parametros!B14</f>
        <v/>
      </c>
      <c r="C7" s="9">
        <f>SUMIF(Presupuesto!$A$4:$A$10,A7,Presupuesto!$F$4:$F$10)</f>
        <v/>
      </c>
      <c r="D7" s="10">
        <f>IFERROR(C7/Presupuesto!$F$11,0)</f>
        <v/>
      </c>
      <c r="E7" s="10">
        <f>IF(Parametros!C14="","",Parametros!C14)</f>
        <v/>
      </c>
      <c r="F7" s="3">
        <f>IF(E7="","SIN TOPE",IF(D7&lt;=E7+0.0000001,"CUMPLE","NO CUMPLE"))</f>
        <v/>
      </c>
      <c r="G7" s="9">
        <f>SUMIF(Presupuesto!$A$4:$A$10,A7,Presupuesto!$L$4:$L$10)</f>
        <v/>
      </c>
      <c r="H7" s="9">
        <f>SUMIF(Presupuesto!$A$4:$A$10,A7,Presupuesto!$M$4:$M$10)</f>
        <v/>
      </c>
      <c r="I7" s="9">
        <f>SUMIF(Presupuesto!$A$4:$A$10,A7,Presupuesto!$N$4:$N$10)</f>
        <v/>
      </c>
      <c r="J7" s="9">
        <f>SUMIF(Presupuesto!$A$4:$A$10,A7,Presupuesto!$O$4:$O$10)</f>
        <v/>
      </c>
    </row>
    <row r="9">
      <c r="A9" s="6" t="inlineStr">
        <is>
          <t>Por fuente</t>
        </is>
      </c>
    </row>
    <row r="10">
      <c r="A10" s="2" t="inlineStr">
        <is>
          <t>Fuente</t>
        </is>
      </c>
      <c r="B10" s="2" t="inlineStr"/>
      <c r="C10" s="2" t="inlineStr">
        <is>
          <t>Monto</t>
        </is>
      </c>
      <c r="D10" s="2" t="inlineStr">
        <is>
          <t>% del total</t>
        </is>
      </c>
    </row>
    <row r="11">
      <c r="A11" s="3" t="inlineStr">
        <is>
          <t>Entidad</t>
        </is>
      </c>
      <c r="C11" s="9">
        <f>Presupuesto!L11</f>
        <v/>
      </c>
      <c r="D11" s="10">
        <f>IFERROR(C11/Presupuesto!$F$11,0)</f>
        <v/>
      </c>
    </row>
    <row r="12">
      <c r="A12" s="3" t="inlineStr">
        <is>
          <t>Propio pecuniario</t>
        </is>
      </c>
      <c r="C12" s="9">
        <f>Presupuesto!M11</f>
        <v/>
      </c>
      <c r="D12" s="10">
        <f>IFERROR(C12/Presupuesto!$F$11,0)</f>
        <v/>
      </c>
    </row>
    <row r="13">
      <c r="A13" s="3" t="inlineStr">
        <is>
          <t>Propio no pecuniario</t>
        </is>
      </c>
      <c r="C13" s="9">
        <f>Presupuesto!N11</f>
        <v/>
      </c>
      <c r="D13" s="10">
        <f>IFERROR(C13/Presupuesto!$F$11,0)</f>
        <v/>
      </c>
    </row>
    <row r="14">
      <c r="A14" s="3" t="inlineStr">
        <is>
          <t>Terceros</t>
        </is>
      </c>
      <c r="C14" s="9">
        <f>Presupuesto!O11</f>
        <v/>
      </c>
      <c r="D14" s="10">
        <f>IFERROR(C14/Presupuesto!$F$11,0)</f>
        <v/>
      </c>
    </row>
    <row r="15">
      <c r="A15" s="6" t="inlineStr">
        <is>
          <t>Aporte propio total</t>
        </is>
      </c>
      <c r="C15" s="11">
        <f>C12+C13</f>
        <v/>
      </c>
      <c r="D15" s="12">
        <f>IFERROR(C15/Presupuesto!$F$11,0)</f>
        <v/>
      </c>
    </row>
    <row r="16">
      <c r="A16" s="6" t="inlineStr">
        <is>
          <t>Costo total</t>
        </is>
      </c>
      <c r="C16" s="11">
        <f>Presupuesto!$F$11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5" customWidth="1" min="4" max="4"/>
    <col width="13" customWidth="1" min="5" max="5"/>
    <col width="40" customWidth="1" min="6" max="6"/>
  </cols>
  <sheetData>
    <row r="1">
      <c r="A1" s="1" t="inlineStr">
        <is>
          <t>Controles contra las bases</t>
        </is>
      </c>
    </row>
    <row r="2">
      <c r="A2" t="inlineStr">
        <is>
          <t>Se recalculan solos al cambiar parámetros o partidas. NO CUMPLE debe quedar en cero antes de postular.</t>
        </is>
      </c>
    </row>
    <row r="3">
      <c r="A3" s="2" t="inlineStr">
        <is>
          <t>Id</t>
        </is>
      </c>
      <c r="B3" s="2" t="inlineStr">
        <is>
          <t>Control</t>
        </is>
      </c>
      <c r="C3" s="2" t="inlineStr">
        <is>
          <t>Valor</t>
        </is>
      </c>
      <c r="D3" s="2" t="inlineStr">
        <is>
          <t>Límite</t>
        </is>
      </c>
      <c r="E3" s="2" t="inlineStr">
        <is>
          <t>Estado</t>
        </is>
      </c>
      <c r="F3" s="2" t="inlineStr">
        <is>
          <t>Fuente</t>
        </is>
      </c>
    </row>
    <row r="4">
      <c r="A4" s="3" t="inlineStr">
        <is>
          <t>CTL-00</t>
        </is>
      </c>
      <c r="B4" s="3" t="inlineStr">
        <is>
          <t>Costo total del presupuesto mayor que cero</t>
        </is>
      </c>
      <c r="C4" s="9">
        <f>Presupuesto!$F$11</f>
        <v/>
      </c>
      <c r="D4" s="3" t="n">
        <v>0</v>
      </c>
      <c r="E4" s="6">
        <f>IF(C4&gt;0,"CUMPLE","NO CUMPLE")</f>
        <v/>
      </c>
      <c r="F4" s="3" t="inlineStr">
        <is>
          <t>Coherencia interna</t>
        </is>
      </c>
    </row>
    <row r="5">
      <c r="A5" s="3" t="inlineStr">
        <is>
          <t>CTL-01</t>
        </is>
      </c>
      <c r="B5" s="3" t="inlineStr">
        <is>
          <t>Aporte de la entidad / costo total ≤ máximo</t>
        </is>
      </c>
      <c r="C5" s="10">
        <f>IFERROR(Resumen!C11/Presupuesto!$F$11,0)</f>
        <v/>
      </c>
      <c r="D5" s="10">
        <f>IF(Parametros!B4="","",Parametros!B4)</f>
        <v/>
      </c>
      <c r="E5" s="6">
        <f>IF(D5="","SIN REGLA",IF(Presupuesto!$F$11&lt;=0,"SIN DATOS",IF(C5&lt;=D5+0.0000001,"CUMPLE","NO CUMPLE")))</f>
        <v/>
      </c>
      <c r="F5" s="3">
        <f>Parametros!C4</f>
        <v/>
      </c>
    </row>
    <row r="6">
      <c r="A6" s="3" t="inlineStr">
        <is>
          <t>CTL-02</t>
        </is>
      </c>
      <c r="B6" s="3" t="inlineStr">
        <is>
          <t>Aporte de la entidad ≤ monto máximo</t>
        </is>
      </c>
      <c r="C6" s="9">
        <f>Resumen!C11</f>
        <v/>
      </c>
      <c r="D6" s="9">
        <f>IF(Parametros!B5="","",Parametros!B5)</f>
        <v/>
      </c>
      <c r="E6" s="6">
        <f>IF(D6="","SIN REGLA",IF(Presupuesto!$F$11&lt;=0,"SIN DATOS",IF(C6&lt;=D6+0.0000001,"CUMPLE","NO CUMPLE")))</f>
        <v/>
      </c>
      <c r="F6" s="3">
        <f>Parametros!C4</f>
        <v/>
      </c>
    </row>
    <row r="7">
      <c r="A7" s="3" t="inlineStr">
        <is>
          <t>CTL-03</t>
        </is>
      </c>
      <c r="B7" s="3" t="inlineStr">
        <is>
          <t>Aporte propio / costo total ≥ mínimo</t>
        </is>
      </c>
      <c r="C7" s="10">
        <f>Resumen!D15</f>
        <v/>
      </c>
      <c r="D7" s="10">
        <f>IF(Parametros!B6="","",Parametros!B6)</f>
        <v/>
      </c>
      <c r="E7" s="6">
        <f>IF(D7="","SIN REGLA",IF(Presupuesto!$F$11&lt;=0,"SIN DATOS",IF(C7&gt;=D7-0.0000001,"CUMPLE","NO CUMPLE")))</f>
        <v/>
      </c>
      <c r="F7" s="3">
        <f>Parametros!C4</f>
        <v/>
      </c>
    </row>
    <row r="8">
      <c r="A8" s="3" t="inlineStr">
        <is>
          <t>CTL-04</t>
        </is>
      </c>
      <c r="B8" s="3" t="inlineStr">
        <is>
          <t>Aporte pecuniario / aporte propio ≥ mínimo</t>
        </is>
      </c>
      <c r="C8" s="10">
        <f>IFERROR(Resumen!C12/Resumen!C15,0)</f>
        <v/>
      </c>
      <c r="D8" s="10">
        <f>IF(Parametros!B7="","",Parametros!B7)</f>
        <v/>
      </c>
      <c r="E8" s="6">
        <f>IF(D8="","SIN REGLA",IF(Presupuesto!$F$11&lt;=0,"SIN DATOS",IF(C8&gt;=D8-0.0000001,"CUMPLE","NO CUMPLE")))</f>
        <v/>
      </c>
      <c r="F8" s="3">
        <f>Parametros!C4</f>
        <v/>
      </c>
    </row>
    <row r="9">
      <c r="A9" s="3" t="inlineStr">
        <is>
          <t>CTL-05</t>
        </is>
      </c>
      <c r="B9" s="3" t="inlineStr">
        <is>
          <t>Partidas cuyas fuentes no suman 100%</t>
        </is>
      </c>
      <c r="C9" s="3">
        <f>SUMPRODUCT(--(ABS(Presupuesto!K4:K10-1)&gt;0.0001))*(Presupuesto!$F$11&gt;0)</f>
        <v/>
      </c>
      <c r="D9" s="3" t="n">
        <v>0</v>
      </c>
      <c r="E9" s="6">
        <f>IF(C9=0,"CUMPLE","NO CUMPLE")</f>
        <v/>
      </c>
      <c r="F9" s="3" t="inlineStr">
        <is>
          <t>Coherencia interna</t>
        </is>
      </c>
    </row>
    <row r="10">
      <c r="A10" s="3" t="inlineStr">
        <is>
          <t>CTL-06</t>
        </is>
      </c>
      <c r="B10" s="3">
        <f>"Ítem "&amp;Resumen!A4&amp;" ("&amp;Resumen!B4&amp;") / costo total ≤ tope"</f>
        <v/>
      </c>
      <c r="C10" s="10">
        <f>Resumen!D4</f>
        <v/>
      </c>
      <c r="D10" s="10">
        <f>Resumen!E4</f>
        <v/>
      </c>
      <c r="E10" s="6">
        <f>IF(D10="","SIN REGLA",IF(Presupuesto!$F$11&lt;=0,"SIN DATOS",IF(C10&lt;=D10+0.0000001,"CUMPLE","NO CUMPLE")))</f>
        <v/>
      </c>
      <c r="F10" s="3">
        <f>Parametros!C4</f>
        <v/>
      </c>
    </row>
    <row r="11">
      <c r="A11" s="3" t="inlineStr">
        <is>
          <t>CTL-07</t>
        </is>
      </c>
      <c r="B11" s="3">
        <f>"Ítem "&amp;Resumen!A5&amp;" ("&amp;Resumen!B5&amp;") / costo total ≤ tope"</f>
        <v/>
      </c>
      <c r="C11" s="10">
        <f>Resumen!D5</f>
        <v/>
      </c>
      <c r="D11" s="10">
        <f>Resumen!E5</f>
        <v/>
      </c>
      <c r="E11" s="6">
        <f>IF(D11="","SIN REGLA",IF(Presupuesto!$F$11&lt;=0,"SIN DATOS",IF(C11&lt;=D11+0.0000001,"CUMPLE","NO CUMPLE")))</f>
        <v/>
      </c>
      <c r="F11" s="3">
        <f>Parametros!C4</f>
        <v/>
      </c>
    </row>
    <row r="12">
      <c r="A12" s="3" t="inlineStr">
        <is>
          <t>CTL-08</t>
        </is>
      </c>
      <c r="B12" s="3">
        <f>"Ítem "&amp;Resumen!A6&amp;" ("&amp;Resumen!B6&amp;") / costo total ≤ tope"</f>
        <v/>
      </c>
      <c r="C12" s="10">
        <f>Resumen!D6</f>
        <v/>
      </c>
      <c r="D12" s="10">
        <f>Resumen!E6</f>
        <v/>
      </c>
      <c r="E12" s="6">
        <f>IF(D12="","SIN REGLA",IF(Presupuesto!$F$11&lt;=0,"SIN DATOS",IF(C12&lt;=D12+0.0000001,"CUMPLE","NO CUMPLE")))</f>
        <v/>
      </c>
      <c r="F12" s="3">
        <f>Parametros!C4</f>
        <v/>
      </c>
    </row>
    <row r="13">
      <c r="A13" s="3" t="inlineStr">
        <is>
          <t>CTL-09</t>
        </is>
      </c>
      <c r="B13" s="3">
        <f>"Ítem "&amp;Resumen!A7&amp;" ("&amp;Resumen!B7&amp;") / costo total ≤ tope"</f>
        <v/>
      </c>
      <c r="C13" s="10">
        <f>Resumen!D7</f>
        <v/>
      </c>
      <c r="D13" s="10">
        <f>Resumen!E7</f>
        <v/>
      </c>
      <c r="E13" s="6">
        <f>IF(D13="","SIN REGLA",IF(Presupuesto!$F$11&lt;=0,"SIN DATOS",IF(C13&lt;=D13+0.0000001,"CUMPLE","NO CUMPLE")))</f>
        <v/>
      </c>
      <c r="F13" s="3">
        <f>Parametros!C4</f>
        <v/>
      </c>
    </row>
    <row r="15">
      <c r="B15" s="6" t="inlineStr">
        <is>
          <t>Controles NO CUMPLE</t>
        </is>
      </c>
      <c r="C15" s="6">
        <f>COUNTIF(E4:E13,"NO CUMPLE")</f>
        <v/>
      </c>
    </row>
  </sheetData>
  <conditionalFormatting sqref="E4:E13">
    <cfRule type="cellIs" priority="1" operator="equal" dxfId="0">
      <formula>"NO CUMPLE"</formula>
    </cfRule>
    <cfRule type="cellIs" priority="2" operator="equal" dxfId="1">
      <formula>"CUMPLE"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Cronograma financiero (distribución mensual de cada partida)</t>
        </is>
      </c>
    </row>
    <row r="2">
      <c r="A2" t="inlineStr">
        <is>
          <t>Azul = % del costo de la partida que se ejecuta cada mes (debe sumar 100%).</t>
        </is>
      </c>
    </row>
    <row r="3">
      <c r="A3" s="2" t="inlineStr">
        <is>
          <t>Partida</t>
        </is>
      </c>
      <c r="B3" s="2" t="inlineStr">
        <is>
          <t>Costo total</t>
        </is>
      </c>
      <c r="C3" s="2" t="inlineStr">
        <is>
          <t>Mes 1</t>
        </is>
      </c>
      <c r="D3" s="2" t="inlineStr">
        <is>
          <t>Mes 2</t>
        </is>
      </c>
      <c r="E3" s="2" t="inlineStr">
        <is>
          <t>Mes 3</t>
        </is>
      </c>
      <c r="F3" s="2" t="inlineStr">
        <is>
          <t>Mes 4</t>
        </is>
      </c>
      <c r="G3" s="2" t="inlineStr">
        <is>
          <t>Mes 5</t>
        </is>
      </c>
      <c r="H3" s="2" t="inlineStr">
        <is>
          <t>Mes 6</t>
        </is>
      </c>
      <c r="I3" s="2" t="inlineStr">
        <is>
          <t>Mes 7</t>
        </is>
      </c>
      <c r="J3" s="2" t="inlineStr">
        <is>
          <t>Mes 8</t>
        </is>
      </c>
      <c r="K3" s="2" t="inlineStr">
        <is>
          <t>Mes 9</t>
        </is>
      </c>
      <c r="L3" s="2" t="inlineStr">
        <is>
          <t>Mes 10</t>
        </is>
      </c>
      <c r="M3" s="2" t="inlineStr">
        <is>
          <t>Mes 11</t>
        </is>
      </c>
      <c r="N3" s="2" t="inlineStr">
        <is>
          <t>Mes 12</t>
        </is>
      </c>
      <c r="O3" s="2" t="inlineStr">
        <is>
          <t>Suma %</t>
        </is>
      </c>
    </row>
    <row r="4">
      <c r="A4" s="3">
        <f>Presupuesto!B4</f>
        <v/>
      </c>
      <c r="B4" s="9">
        <f>Presupuesto!F4</f>
        <v/>
      </c>
      <c r="C4" s="4" t="n">
        <v>0.083333</v>
      </c>
      <c r="D4" s="4" t="n">
        <v>0.083333</v>
      </c>
      <c r="E4" s="4" t="n">
        <v>0.083333</v>
      </c>
      <c r="F4" s="4" t="n">
        <v>0.083333</v>
      </c>
      <c r="G4" s="4" t="n">
        <v>0.083333</v>
      </c>
      <c r="H4" s="4" t="n">
        <v>0.083333</v>
      </c>
      <c r="I4" s="4" t="n">
        <v>0.083333</v>
      </c>
      <c r="J4" s="4" t="n">
        <v>0.083333</v>
      </c>
      <c r="K4" s="4" t="n">
        <v>0.083333</v>
      </c>
      <c r="L4" s="4" t="n">
        <v>0.083333</v>
      </c>
      <c r="M4" s="4" t="n">
        <v>0.083333</v>
      </c>
      <c r="N4" s="4" t="n">
        <v>0.083333</v>
      </c>
      <c r="O4" s="10">
        <f>SUM(C4:N4)</f>
        <v/>
      </c>
    </row>
    <row r="5">
      <c r="A5" s="3">
        <f>Presupuesto!B5</f>
        <v/>
      </c>
      <c r="B5" s="9">
        <f>Presupuesto!F5</f>
        <v/>
      </c>
      <c r="C5" s="4" t="n">
        <v>0.083333</v>
      </c>
      <c r="D5" s="4" t="n">
        <v>0.083333</v>
      </c>
      <c r="E5" s="4" t="n">
        <v>0.083333</v>
      </c>
      <c r="F5" s="4" t="n">
        <v>0.083333</v>
      </c>
      <c r="G5" s="4" t="n">
        <v>0.083333</v>
      </c>
      <c r="H5" s="4" t="n">
        <v>0.083333</v>
      </c>
      <c r="I5" s="4" t="n">
        <v>0.083333</v>
      </c>
      <c r="J5" s="4" t="n">
        <v>0.083333</v>
      </c>
      <c r="K5" s="4" t="n">
        <v>0.083333</v>
      </c>
      <c r="L5" s="4" t="n">
        <v>0.083333</v>
      </c>
      <c r="M5" s="4" t="n">
        <v>0.083333</v>
      </c>
      <c r="N5" s="4" t="n">
        <v>0.083333</v>
      </c>
      <c r="O5" s="10">
        <f>SUM(C5:N5)</f>
        <v/>
      </c>
    </row>
    <row r="6">
      <c r="A6" s="3">
        <f>Presupuesto!B6</f>
        <v/>
      </c>
      <c r="B6" s="9">
        <f>Presupuesto!F6</f>
        <v/>
      </c>
      <c r="C6" s="4" t="n">
        <v>0.083333</v>
      </c>
      <c r="D6" s="4" t="n">
        <v>0.083333</v>
      </c>
      <c r="E6" s="4" t="n">
        <v>0.083333</v>
      </c>
      <c r="F6" s="4" t="n">
        <v>0.083333</v>
      </c>
      <c r="G6" s="4" t="n">
        <v>0.083333</v>
      </c>
      <c r="H6" s="4" t="n">
        <v>0.083333</v>
      </c>
      <c r="I6" s="4" t="n">
        <v>0.083333</v>
      </c>
      <c r="J6" s="4" t="n">
        <v>0.083333</v>
      </c>
      <c r="K6" s="4" t="n">
        <v>0.083333</v>
      </c>
      <c r="L6" s="4" t="n">
        <v>0.083333</v>
      </c>
      <c r="M6" s="4" t="n">
        <v>0.083333</v>
      </c>
      <c r="N6" s="4" t="n">
        <v>0.083333</v>
      </c>
      <c r="O6" s="10">
        <f>SUM(C6:N6)</f>
        <v/>
      </c>
    </row>
    <row r="7">
      <c r="A7" s="3">
        <f>Presupuesto!B7</f>
        <v/>
      </c>
      <c r="B7" s="9">
        <f>Presupuesto!F7</f>
        <v/>
      </c>
      <c r="C7" s="4" t="n">
        <v>0.083333</v>
      </c>
      <c r="D7" s="4" t="n">
        <v>0.083333</v>
      </c>
      <c r="E7" s="4" t="n">
        <v>0.083333</v>
      </c>
      <c r="F7" s="4" t="n">
        <v>0.083333</v>
      </c>
      <c r="G7" s="4" t="n">
        <v>0.083333</v>
      </c>
      <c r="H7" s="4" t="n">
        <v>0.083333</v>
      </c>
      <c r="I7" s="4" t="n">
        <v>0.083333</v>
      </c>
      <c r="J7" s="4" t="n">
        <v>0.083333</v>
      </c>
      <c r="K7" s="4" t="n">
        <v>0.083333</v>
      </c>
      <c r="L7" s="4" t="n">
        <v>0.083333</v>
      </c>
      <c r="M7" s="4" t="n">
        <v>0.083333</v>
      </c>
      <c r="N7" s="4" t="n">
        <v>0.083333</v>
      </c>
      <c r="O7" s="10">
        <f>SUM(C7:N7)</f>
        <v/>
      </c>
    </row>
    <row r="8">
      <c r="A8" s="3">
        <f>Presupuesto!B8</f>
        <v/>
      </c>
      <c r="B8" s="9">
        <f>Presupuesto!F8</f>
        <v/>
      </c>
      <c r="C8" s="4" t="n">
        <v>0.083333</v>
      </c>
      <c r="D8" s="4" t="n">
        <v>0.083333</v>
      </c>
      <c r="E8" s="4" t="n">
        <v>0.083333</v>
      </c>
      <c r="F8" s="4" t="n">
        <v>0.083333</v>
      </c>
      <c r="G8" s="4" t="n">
        <v>0.083333</v>
      </c>
      <c r="H8" s="4" t="n">
        <v>0.083333</v>
      </c>
      <c r="I8" s="4" t="n">
        <v>0.083333</v>
      </c>
      <c r="J8" s="4" t="n">
        <v>0.083333</v>
      </c>
      <c r="K8" s="4" t="n">
        <v>0.083333</v>
      </c>
      <c r="L8" s="4" t="n">
        <v>0.083333</v>
      </c>
      <c r="M8" s="4" t="n">
        <v>0.083333</v>
      </c>
      <c r="N8" s="4" t="n">
        <v>0.083333</v>
      </c>
      <c r="O8" s="10">
        <f>SUM(C8:N8)</f>
        <v/>
      </c>
    </row>
    <row r="9">
      <c r="A9" s="3">
        <f>Presupuesto!B9</f>
        <v/>
      </c>
      <c r="B9" s="9">
        <f>Presupuesto!F9</f>
        <v/>
      </c>
      <c r="C9" s="4" t="n">
        <v>0.083333</v>
      </c>
      <c r="D9" s="4" t="n">
        <v>0.083333</v>
      </c>
      <c r="E9" s="4" t="n">
        <v>0.083333</v>
      </c>
      <c r="F9" s="4" t="n">
        <v>0.083333</v>
      </c>
      <c r="G9" s="4" t="n">
        <v>0.083333</v>
      </c>
      <c r="H9" s="4" t="n">
        <v>0.083333</v>
      </c>
      <c r="I9" s="4" t="n">
        <v>0.083333</v>
      </c>
      <c r="J9" s="4" t="n">
        <v>0.083333</v>
      </c>
      <c r="K9" s="4" t="n">
        <v>0.083333</v>
      </c>
      <c r="L9" s="4" t="n">
        <v>0.083333</v>
      </c>
      <c r="M9" s="4" t="n">
        <v>0.083333</v>
      </c>
      <c r="N9" s="4" t="n">
        <v>0.083333</v>
      </c>
      <c r="O9" s="10">
        <f>SUM(C9:N9)</f>
        <v/>
      </c>
    </row>
    <row r="10">
      <c r="A10" s="3">
        <f>Presupuesto!B10</f>
        <v/>
      </c>
      <c r="B10" s="9">
        <f>Presupuesto!F10</f>
        <v/>
      </c>
      <c r="C10" s="4" t="n">
        <v>0.083333</v>
      </c>
      <c r="D10" s="4" t="n">
        <v>0.083333</v>
      </c>
      <c r="E10" s="4" t="n">
        <v>0.083333</v>
      </c>
      <c r="F10" s="4" t="n">
        <v>0.083333</v>
      </c>
      <c r="G10" s="4" t="n">
        <v>0.083333</v>
      </c>
      <c r="H10" s="4" t="n">
        <v>0.083333</v>
      </c>
      <c r="I10" s="4" t="n">
        <v>0.083333</v>
      </c>
      <c r="J10" s="4" t="n">
        <v>0.083333</v>
      </c>
      <c r="K10" s="4" t="n">
        <v>0.083333</v>
      </c>
      <c r="L10" s="4" t="n">
        <v>0.083333</v>
      </c>
      <c r="M10" s="4" t="n">
        <v>0.083333</v>
      </c>
      <c r="N10" s="4" t="n">
        <v>0.083333</v>
      </c>
      <c r="O10" s="10">
        <f>SUM(C10:N10)</f>
        <v/>
      </c>
    </row>
    <row r="13">
      <c r="A13" s="6" t="inlineStr">
        <is>
          <t>Montos por mes</t>
        </is>
      </c>
    </row>
    <row r="14">
      <c r="A14" s="3">
        <f>A4</f>
        <v/>
      </c>
      <c r="C14" s="9">
        <f>$B4*C4</f>
        <v/>
      </c>
      <c r="D14" s="9">
        <f>$B4*D4</f>
        <v/>
      </c>
      <c r="E14" s="9">
        <f>$B4*E4</f>
        <v/>
      </c>
      <c r="F14" s="9">
        <f>$B4*F4</f>
        <v/>
      </c>
      <c r="G14" s="9">
        <f>$B4*G4</f>
        <v/>
      </c>
      <c r="H14" s="9">
        <f>$B4*H4</f>
        <v/>
      </c>
      <c r="I14" s="9">
        <f>$B4*I4</f>
        <v/>
      </c>
      <c r="J14" s="9">
        <f>$B4*J4</f>
        <v/>
      </c>
      <c r="K14" s="9">
        <f>$B4*K4</f>
        <v/>
      </c>
      <c r="L14" s="9">
        <f>$B4*L4</f>
        <v/>
      </c>
      <c r="M14" s="9">
        <f>$B4*M4</f>
        <v/>
      </c>
      <c r="N14" s="9">
        <f>$B4*N4</f>
        <v/>
      </c>
    </row>
    <row r="15">
      <c r="A15" s="3">
        <f>A5</f>
        <v/>
      </c>
      <c r="C15" s="9">
        <f>$B5*C5</f>
        <v/>
      </c>
      <c r="D15" s="9">
        <f>$B5*D5</f>
        <v/>
      </c>
      <c r="E15" s="9">
        <f>$B5*E5</f>
        <v/>
      </c>
      <c r="F15" s="9">
        <f>$B5*F5</f>
        <v/>
      </c>
      <c r="G15" s="9">
        <f>$B5*G5</f>
        <v/>
      </c>
      <c r="H15" s="9">
        <f>$B5*H5</f>
        <v/>
      </c>
      <c r="I15" s="9">
        <f>$B5*I5</f>
        <v/>
      </c>
      <c r="J15" s="9">
        <f>$B5*J5</f>
        <v/>
      </c>
      <c r="K15" s="9">
        <f>$B5*K5</f>
        <v/>
      </c>
      <c r="L15" s="9">
        <f>$B5*L5</f>
        <v/>
      </c>
      <c r="M15" s="9">
        <f>$B5*M5</f>
        <v/>
      </c>
      <c r="N15" s="9">
        <f>$B5*N5</f>
        <v/>
      </c>
    </row>
    <row r="16">
      <c r="A16" s="3">
        <f>A6</f>
        <v/>
      </c>
      <c r="C16" s="9">
        <f>$B6*C6</f>
        <v/>
      </c>
      <c r="D16" s="9">
        <f>$B6*D6</f>
        <v/>
      </c>
      <c r="E16" s="9">
        <f>$B6*E6</f>
        <v/>
      </c>
      <c r="F16" s="9">
        <f>$B6*F6</f>
        <v/>
      </c>
      <c r="G16" s="9">
        <f>$B6*G6</f>
        <v/>
      </c>
      <c r="H16" s="9">
        <f>$B6*H6</f>
        <v/>
      </c>
      <c r="I16" s="9">
        <f>$B6*I6</f>
        <v/>
      </c>
      <c r="J16" s="9">
        <f>$B6*J6</f>
        <v/>
      </c>
      <c r="K16" s="9">
        <f>$B6*K6</f>
        <v/>
      </c>
      <c r="L16" s="9">
        <f>$B6*L6</f>
        <v/>
      </c>
      <c r="M16" s="9">
        <f>$B6*M6</f>
        <v/>
      </c>
      <c r="N16" s="9">
        <f>$B6*N6</f>
        <v/>
      </c>
    </row>
    <row r="17">
      <c r="A17" s="3">
        <f>A7</f>
        <v/>
      </c>
      <c r="C17" s="9">
        <f>$B7*C7</f>
        <v/>
      </c>
      <c r="D17" s="9">
        <f>$B7*D7</f>
        <v/>
      </c>
      <c r="E17" s="9">
        <f>$B7*E7</f>
        <v/>
      </c>
      <c r="F17" s="9">
        <f>$B7*F7</f>
        <v/>
      </c>
      <c r="G17" s="9">
        <f>$B7*G7</f>
        <v/>
      </c>
      <c r="H17" s="9">
        <f>$B7*H7</f>
        <v/>
      </c>
      <c r="I17" s="9">
        <f>$B7*I7</f>
        <v/>
      </c>
      <c r="J17" s="9">
        <f>$B7*J7</f>
        <v/>
      </c>
      <c r="K17" s="9">
        <f>$B7*K7</f>
        <v/>
      </c>
      <c r="L17" s="9">
        <f>$B7*L7</f>
        <v/>
      </c>
      <c r="M17" s="9">
        <f>$B7*M7</f>
        <v/>
      </c>
      <c r="N17" s="9">
        <f>$B7*N7</f>
        <v/>
      </c>
    </row>
    <row r="18">
      <c r="A18" s="3">
        <f>A8</f>
        <v/>
      </c>
      <c r="C18" s="9">
        <f>$B8*C8</f>
        <v/>
      </c>
      <c r="D18" s="9">
        <f>$B8*D8</f>
        <v/>
      </c>
      <c r="E18" s="9">
        <f>$B8*E8</f>
        <v/>
      </c>
      <c r="F18" s="9">
        <f>$B8*F8</f>
        <v/>
      </c>
      <c r="G18" s="9">
        <f>$B8*G8</f>
        <v/>
      </c>
      <c r="H18" s="9">
        <f>$B8*H8</f>
        <v/>
      </c>
      <c r="I18" s="9">
        <f>$B8*I8</f>
        <v/>
      </c>
      <c r="J18" s="9">
        <f>$B8*J8</f>
        <v/>
      </c>
      <c r="K18" s="9">
        <f>$B8*K8</f>
        <v/>
      </c>
      <c r="L18" s="9">
        <f>$B8*L8</f>
        <v/>
      </c>
      <c r="M18" s="9">
        <f>$B8*M8</f>
        <v/>
      </c>
      <c r="N18" s="9">
        <f>$B8*N8</f>
        <v/>
      </c>
    </row>
    <row r="19">
      <c r="A19" s="3">
        <f>A9</f>
        <v/>
      </c>
      <c r="C19" s="9">
        <f>$B9*C9</f>
        <v/>
      </c>
      <c r="D19" s="9">
        <f>$B9*D9</f>
        <v/>
      </c>
      <c r="E19" s="9">
        <f>$B9*E9</f>
        <v/>
      </c>
      <c r="F19" s="9">
        <f>$B9*F9</f>
        <v/>
      </c>
      <c r="G19" s="9">
        <f>$B9*G9</f>
        <v/>
      </c>
      <c r="H19" s="9">
        <f>$B9*H9</f>
        <v/>
      </c>
      <c r="I19" s="9">
        <f>$B9*I9</f>
        <v/>
      </c>
      <c r="J19" s="9">
        <f>$B9*J9</f>
        <v/>
      </c>
      <c r="K19" s="9">
        <f>$B9*K9</f>
        <v/>
      </c>
      <c r="L19" s="9">
        <f>$B9*L9</f>
        <v/>
      </c>
      <c r="M19" s="9">
        <f>$B9*M9</f>
        <v/>
      </c>
      <c r="N19" s="9">
        <f>$B9*N9</f>
        <v/>
      </c>
    </row>
    <row r="20">
      <c r="A20" s="3">
        <f>A10</f>
        <v/>
      </c>
      <c r="C20" s="9">
        <f>$B10*C10</f>
        <v/>
      </c>
      <c r="D20" s="9">
        <f>$B10*D10</f>
        <v/>
      </c>
      <c r="E20" s="9">
        <f>$B10*E10</f>
        <v/>
      </c>
      <c r="F20" s="9">
        <f>$B10*F10</f>
        <v/>
      </c>
      <c r="G20" s="9">
        <f>$B10*G10</f>
        <v/>
      </c>
      <c r="H20" s="9">
        <f>$B10*H10</f>
        <v/>
      </c>
      <c r="I20" s="9">
        <f>$B10*I10</f>
        <v/>
      </c>
      <c r="J20" s="9">
        <f>$B10*J10</f>
        <v/>
      </c>
      <c r="K20" s="9">
        <f>$B10*K10</f>
        <v/>
      </c>
      <c r="L20" s="9">
        <f>$B10*L10</f>
        <v/>
      </c>
      <c r="M20" s="9">
        <f>$B10*M10</f>
        <v/>
      </c>
      <c r="N20" s="9">
        <f>$B10*N10</f>
        <v/>
      </c>
    </row>
    <row r="21">
      <c r="A21" s="6" t="inlineStr">
        <is>
          <t>Total mes</t>
        </is>
      </c>
      <c r="C21" s="11">
        <f>SUM(C14:C20)</f>
        <v/>
      </c>
      <c r="D21" s="11">
        <f>SUM(D14:D20)</f>
        <v/>
      </c>
      <c r="E21" s="11">
        <f>SUM(E14:E20)</f>
        <v/>
      </c>
      <c r="F21" s="11">
        <f>SUM(F14:F20)</f>
        <v/>
      </c>
      <c r="G21" s="11">
        <f>SUM(G14:G20)</f>
        <v/>
      </c>
      <c r="H21" s="11">
        <f>SUM(H14:H20)</f>
        <v/>
      </c>
      <c r="I21" s="11">
        <f>SUM(I14:I20)</f>
        <v/>
      </c>
      <c r="J21" s="11">
        <f>SUM(J14:J20)</f>
        <v/>
      </c>
      <c r="K21" s="11">
        <f>SUM(K14:K20)</f>
        <v/>
      </c>
      <c r="L21" s="11">
        <f>SUM(L14:L20)</f>
        <v/>
      </c>
      <c r="M21" s="11">
        <f>SUM(M14:M20)</f>
        <v/>
      </c>
      <c r="N21" s="11">
        <f>SUM(N14:N20)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AgroSur Tecnología SpA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Riego inteligente AgroSur</dc:title>
  <dc:creator>Paula Soto</dc:creator>
  <cp:lastModifiedBy>Paula Soto</cp:lastModifiedBy>
  <cp:revision>1</cp:revision>
  <dcterms:created xsi:type="dcterms:W3CDTF">2026-09-29T19:37:02Z</dcterms:created>
  <dcterms:modified xsi:type="dcterms:W3CDTF">2026-09-29T19:37:02Z</dcterms:modified>
</cp:coreProperties>
</file>