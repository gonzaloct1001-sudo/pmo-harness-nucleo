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Modificaciones" sheetId="4" state="visible" r:id="rId4"/>
    <sheet xmlns:r="http://schemas.openxmlformats.org/officeDocument/2006/relationships" name="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color rgb="000000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Control presupuestario — Programa Logística Integrada (CLP)</t>
        </is>
      </c>
    </row>
    <row r="2">
      <c r="A2" t="inlineStr">
        <is>
          <t>Resumen por subproyecto calculado con fórmulas desde la hoja Detalle.</t>
        </is>
      </c>
    </row>
    <row r="3">
      <c r="A3" s="2" t="inlineStr">
        <is>
          <t>Subproyecto</t>
        </is>
      </c>
      <c r="B3" s="2" t="inlineStr">
        <is>
          <t>Vigente</t>
        </is>
      </c>
      <c r="C3" s="2" t="inlineStr">
        <is>
          <t>Comprometido</t>
        </is>
      </c>
      <c r="D3" s="2" t="inlineStr">
        <is>
          <t>Real</t>
        </is>
      </c>
      <c r="E3" s="2" t="inlineStr">
        <is>
          <t>Disponible</t>
        </is>
      </c>
      <c r="F3" s="2" t="inlineStr">
        <is>
          <t>Ejecutado</t>
        </is>
      </c>
      <c r="G3" s="2" t="inlineStr">
        <is>
          <t>Estimado al término</t>
        </is>
      </c>
      <c r="H3" s="2" t="inlineStr">
        <is>
          <t>Desviación</t>
        </is>
      </c>
      <c r="I3" s="2" t="inlineStr">
        <is>
          <t>Contingencia vigente</t>
        </is>
      </c>
      <c r="J3" s="2" t="inlineStr">
        <is>
          <t>Contingencia base</t>
        </is>
      </c>
    </row>
    <row r="4">
      <c r="A4" s="3" t="inlineStr">
        <is>
          <t>PROGRAMA</t>
        </is>
      </c>
      <c r="B4" s="4">
        <f>SUMIFS(Detalle!$E$4:$E$12,Detalle!$A$4:$A$12,A4)</f>
        <v/>
      </c>
      <c r="C4" s="4">
        <f>SUMIFS(Detalle!$F$4:$F$12,Detalle!$A$4:$A$12,A4)</f>
        <v/>
      </c>
      <c r="D4" s="4">
        <f>SUMIFS(Detalle!$G$4:$G$12,Detalle!$A$4:$A$12,A4)</f>
        <v/>
      </c>
      <c r="E4" s="4">
        <f>SUMIFS(Detalle!$H$4:$H$12,Detalle!$A$4:$A$12,A4)</f>
        <v/>
      </c>
      <c r="F4" s="5">
        <f>IFERROR((C4+D4)/B4,0)</f>
        <v/>
      </c>
      <c r="G4" s="4">
        <f>SUMIFS(Detalle!$K$4:$K$12,Detalle!$A$4:$A$12,A4)</f>
        <v/>
      </c>
      <c r="H4" s="4">
        <f>B4-G4</f>
        <v/>
      </c>
      <c r="I4" s="4">
        <f>SUMIFS(Detalle!$E$4:$E$12,Detalle!$A$4:$A$12,A4,Detalle!$B$4:$B$12,"CONTINGENCIA")</f>
        <v/>
      </c>
      <c r="J4" s="4">
        <f>SUMIFS(Detalle!$C$4:$C$12,Detalle!$A$4:$A$12,A4,Detalle!$B$4:$B$12,"CONTINGENCIA")+SUMIFS(Modificaciones!$G$2:$G$7,Modificaciones!$E$2:$E$7,A4,Modificaciones!$F$2:$F$7,"CONTINGENCIA",Modificaciones!$C$2:$C$7,"enmienda")</f>
        <v/>
      </c>
    </row>
    <row r="5">
      <c r="A5" s="3" t="inlineStr">
        <is>
          <t>sp1</t>
        </is>
      </c>
      <c r="B5" s="4">
        <f>SUMIFS(Detalle!$E$4:$E$12,Detalle!$A$4:$A$12,A5)</f>
        <v/>
      </c>
      <c r="C5" s="4">
        <f>SUMIFS(Detalle!$F$4:$F$12,Detalle!$A$4:$A$12,A5)</f>
        <v/>
      </c>
      <c r="D5" s="4">
        <f>SUMIFS(Detalle!$G$4:$G$12,Detalle!$A$4:$A$12,A5)</f>
        <v/>
      </c>
      <c r="E5" s="4">
        <f>SUMIFS(Detalle!$H$4:$H$12,Detalle!$A$4:$A$12,A5)</f>
        <v/>
      </c>
      <c r="F5" s="5">
        <f>IFERROR((C5+D5)/B5,0)</f>
        <v/>
      </c>
      <c r="G5" s="4">
        <f>SUMIFS(Detalle!$K$4:$K$12,Detalle!$A$4:$A$12,A5)</f>
        <v/>
      </c>
      <c r="H5" s="4">
        <f>B5-G5</f>
        <v/>
      </c>
      <c r="I5" s="4">
        <f>SUMIFS(Detalle!$E$4:$E$12,Detalle!$A$4:$A$12,A5,Detalle!$B$4:$B$12,"CONTINGENCIA")</f>
        <v/>
      </c>
      <c r="J5" s="4">
        <f>SUMIFS(Detalle!$C$4:$C$12,Detalle!$A$4:$A$12,A5,Detalle!$B$4:$B$12,"CONTINGENCIA")+SUMIFS(Modificaciones!$G$2:$G$7,Modificaciones!$E$2:$E$7,A5,Modificaciones!$F$2:$F$7,"CONTINGENCIA",Modificaciones!$C$2:$C$7,"enmienda")</f>
        <v/>
      </c>
    </row>
    <row r="6">
      <c r="A6" s="3" t="inlineStr">
        <is>
          <t>sp2</t>
        </is>
      </c>
      <c r="B6" s="4">
        <f>SUMIFS(Detalle!$E$4:$E$12,Detalle!$A$4:$A$12,A6)</f>
        <v/>
      </c>
      <c r="C6" s="4">
        <f>SUMIFS(Detalle!$F$4:$F$12,Detalle!$A$4:$A$12,A6)</f>
        <v/>
      </c>
      <c r="D6" s="4">
        <f>SUMIFS(Detalle!$G$4:$G$12,Detalle!$A$4:$A$12,A6)</f>
        <v/>
      </c>
      <c r="E6" s="4">
        <f>SUMIFS(Detalle!$H$4:$H$12,Detalle!$A$4:$A$12,A6)</f>
        <v/>
      </c>
      <c r="F6" s="5">
        <f>IFERROR((C6+D6)/B6,0)</f>
        <v/>
      </c>
      <c r="G6" s="4">
        <f>SUMIFS(Detalle!$K$4:$K$12,Detalle!$A$4:$A$12,A6)</f>
        <v/>
      </c>
      <c r="H6" s="4">
        <f>B6-G6</f>
        <v/>
      </c>
      <c r="I6" s="4">
        <f>SUMIFS(Detalle!$E$4:$E$12,Detalle!$A$4:$A$12,A6,Detalle!$B$4:$B$12,"CONTINGENCIA")</f>
        <v/>
      </c>
      <c r="J6" s="4">
        <f>SUMIFS(Detalle!$C$4:$C$12,Detalle!$A$4:$A$12,A6,Detalle!$B$4:$B$12,"CONTINGENCIA")+SUMIFS(Modificaciones!$G$2:$G$7,Modificaciones!$E$2:$E$7,A6,Modificaciones!$F$2:$F$7,"CONTINGENCIA",Modificaciones!$C$2:$C$7,"enmienda")</f>
        <v/>
      </c>
    </row>
    <row r="7">
      <c r="A7" s="3" t="inlineStr">
        <is>
          <t>sp3</t>
        </is>
      </c>
      <c r="B7" s="4">
        <f>SUMIFS(Detalle!$E$4:$E$12,Detalle!$A$4:$A$12,A7)</f>
        <v/>
      </c>
      <c r="C7" s="4">
        <f>SUMIFS(Detalle!$F$4:$F$12,Detalle!$A$4:$A$12,A7)</f>
        <v/>
      </c>
      <c r="D7" s="4">
        <f>SUMIFS(Detalle!$G$4:$G$12,Detalle!$A$4:$A$12,A7)</f>
        <v/>
      </c>
      <c r="E7" s="4">
        <f>SUMIFS(Detalle!$H$4:$H$12,Detalle!$A$4:$A$12,A7)</f>
        <v/>
      </c>
      <c r="F7" s="5">
        <f>IFERROR((C7+D7)/B7,0)</f>
        <v/>
      </c>
      <c r="G7" s="4">
        <f>SUMIFS(Detalle!$K$4:$K$12,Detalle!$A$4:$A$12,A7)</f>
        <v/>
      </c>
      <c r="H7" s="4">
        <f>B7-G7</f>
        <v/>
      </c>
      <c r="I7" s="4">
        <f>SUMIFS(Detalle!$E$4:$E$12,Detalle!$A$4:$A$12,A7,Detalle!$B$4:$B$12,"CONTINGENCIA")</f>
        <v/>
      </c>
      <c r="J7" s="4">
        <f>SUMIFS(Detalle!$C$4:$C$12,Detalle!$A$4:$A$12,A7,Detalle!$B$4:$B$12,"CONTINGENCIA")+SUMIFS(Modificaciones!$G$2:$G$7,Modificaciones!$E$2:$E$7,A7,Modificaciones!$F$2:$F$7,"CONTINGENCIA",Modificaciones!$C$2:$C$7,"enmienda")</f>
        <v/>
      </c>
    </row>
    <row r="8">
      <c r="A8" s="6" t="inlineStr">
        <is>
          <t>Total programa</t>
        </is>
      </c>
      <c r="B8" s="7">
        <f>SUM(B4:B7)</f>
        <v/>
      </c>
      <c r="C8" s="7">
        <f>SUM(C4:C7)</f>
        <v/>
      </c>
      <c r="D8" s="7">
        <f>SUM(D4:D7)</f>
        <v/>
      </c>
      <c r="E8" s="7">
        <f>SUM(E4:E7)</f>
        <v/>
      </c>
      <c r="F8" s="8">
        <f>IFERROR((C8+D8)/B8,0)</f>
        <v/>
      </c>
      <c r="G8" s="7">
        <f>SUM(G4:G7)</f>
        <v/>
      </c>
      <c r="H8" s="7">
        <f>SUM(H4:H7)</f>
        <v/>
      </c>
      <c r="I8" s="7">
        <f>SUM(I4:I7)</f>
        <v/>
      </c>
      <c r="J8" s="7">
        <f>SUM(J4:J7)</f>
        <v/>
      </c>
    </row>
  </sheetData>
  <conditionalFormatting sqref="E4:E8">
    <cfRule type="cellIs" priority="1" operator="lessThan" dxfId="0">
      <formula>0</formula>
    </cfRule>
  </conditionalFormatting>
  <conditionalFormatting sqref="H4:H8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Detalle por subproyecto y cuenta (CLP)</t>
        </is>
      </c>
    </row>
    <row r="2">
      <c r="A2" t="inlineStr">
        <is>
          <t>Fórmulas sobre las hojas de datos. Azul = por gastar estimado (editable para simular). La fuente son los CSV de presupuesto/.</t>
        </is>
      </c>
    </row>
    <row r="3">
      <c r="A3" s="2" t="inlineStr">
        <is>
          <t>Subproyecto</t>
        </is>
      </c>
      <c r="B3" s="2" t="inlineStr">
        <is>
          <t>Cuenta</t>
        </is>
      </c>
      <c r="C3" s="2" t="inlineStr">
        <is>
          <t>Base</t>
        </is>
      </c>
      <c r="D3" s="2" t="inlineStr">
        <is>
          <t>Modificaciones</t>
        </is>
      </c>
      <c r="E3" s="2" t="inlineStr">
        <is>
          <t>Vigente</t>
        </is>
      </c>
      <c r="F3" s="2" t="inlineStr">
        <is>
          <t>Comprometido</t>
        </is>
      </c>
      <c r="G3" s="2" t="inlineStr">
        <is>
          <t>Real</t>
        </is>
      </c>
      <c r="H3" s="2" t="inlineStr">
        <is>
          <t>Disponible</t>
        </is>
      </c>
      <c r="I3" s="2" t="inlineStr">
        <is>
          <t>Ejecutado</t>
        </is>
      </c>
      <c r="J3" s="2" t="inlineStr">
        <is>
          <t>Por gastar</t>
        </is>
      </c>
      <c r="K3" s="2" t="inlineStr">
        <is>
          <t>Estimado al término</t>
        </is>
      </c>
      <c r="L3" s="2" t="inlineStr">
        <is>
          <t>Desviación</t>
        </is>
      </c>
    </row>
    <row r="4">
      <c r="A4" s="3" t="inlineStr">
        <is>
          <t>PROGRAMA</t>
        </is>
      </c>
      <c r="B4" s="3" t="inlineStr">
        <is>
          <t>GESTION</t>
        </is>
      </c>
      <c r="C4" s="4">
        <f>SUMIFS(Presupuesto!$D$2:$D$8,Presupuesto!$A$2:$A$8,A4,Presupuesto!$B$2:$B$8,B4)</f>
        <v/>
      </c>
      <c r="D4" s="4">
        <f>SUMIFS(Modificaciones!$G$2:$G$7,Modificaciones!$E$2:$E$7,A4,Modificaciones!$F$2:$F$7,B4)</f>
        <v/>
      </c>
      <c r="E4" s="4">
        <f>C4+D4</f>
        <v/>
      </c>
      <c r="F4" s="4">
        <f>SUMIFS(Gastos!$E$2:$E$8,Gastos!$B$2:$B$8,A4,Gastos!$C$2:$C$8,B4,Gastos!$D$2:$D$8,"comprometido")</f>
        <v/>
      </c>
      <c r="G4" s="4">
        <f>SUMIFS(Gastos!$E$2:$E$8,Gastos!$B$2:$B$8,A4,Gastos!$C$2:$C$8,B4,Gastos!$D$2:$D$8,"real")</f>
        <v/>
      </c>
      <c r="H4" s="4">
        <f>E4-F4-G4</f>
        <v/>
      </c>
      <c r="I4" s="5">
        <f>IFERROR((F4+G4)/E4,0)</f>
        <v/>
      </c>
      <c r="J4" s="9" t="n"/>
      <c r="K4" s="4">
        <f>IF(J4="",MAX(E4,F4+G4),F4+G4+J4)</f>
        <v/>
      </c>
      <c r="L4" s="4">
        <f>E4-K4</f>
        <v/>
      </c>
    </row>
    <row r="5">
      <c r="A5" s="3" t="inlineStr">
        <is>
          <t>PROGRAMA</t>
        </is>
      </c>
      <c r="B5" s="3" t="inlineStr">
        <is>
          <t>CONTINGENCIA</t>
        </is>
      </c>
      <c r="C5" s="4">
        <f>SUMIFS(Presupuesto!$D$2:$D$8,Presupuesto!$A$2:$A$8,A5,Presupuesto!$B$2:$B$8,B5)</f>
        <v/>
      </c>
      <c r="D5" s="4">
        <f>SUMIFS(Modificaciones!$G$2:$G$7,Modificaciones!$E$2:$E$7,A5,Modificaciones!$F$2:$F$7,B5)</f>
        <v/>
      </c>
      <c r="E5" s="4">
        <f>C5+D5</f>
        <v/>
      </c>
      <c r="F5" s="4">
        <f>SUMIFS(Gastos!$E$2:$E$8,Gastos!$B$2:$B$8,A5,Gastos!$C$2:$C$8,B5,Gastos!$D$2:$D$8,"comprometido")</f>
        <v/>
      </c>
      <c r="G5" s="4">
        <f>SUMIFS(Gastos!$E$2:$E$8,Gastos!$B$2:$B$8,A5,Gastos!$C$2:$C$8,B5,Gastos!$D$2:$D$8,"real")</f>
        <v/>
      </c>
      <c r="H5" s="4">
        <f>E5-F5-G5</f>
        <v/>
      </c>
      <c r="I5" s="5">
        <f>IFERROR((F5+G5)/E5,0)</f>
        <v/>
      </c>
      <c r="J5" s="9" t="n"/>
      <c r="K5" s="4">
        <f>F5+G5</f>
        <v/>
      </c>
      <c r="L5" s="4">
        <f>E5-K5</f>
        <v/>
      </c>
    </row>
    <row r="6">
      <c r="A6" s="3" t="inlineStr">
        <is>
          <t>sp1</t>
        </is>
      </c>
      <c r="B6" s="3" t="inlineStr">
        <is>
          <t>LICENCIAS</t>
        </is>
      </c>
      <c r="C6" s="4">
        <f>SUMIFS(Presupuesto!$D$2:$D$8,Presupuesto!$A$2:$A$8,A6,Presupuesto!$B$2:$B$8,B6)</f>
        <v/>
      </c>
      <c r="D6" s="4">
        <f>SUMIFS(Modificaciones!$G$2:$G$7,Modificaciones!$E$2:$E$7,A6,Modificaciones!$F$2:$F$7,B6)</f>
        <v/>
      </c>
      <c r="E6" s="4">
        <f>C6+D6</f>
        <v/>
      </c>
      <c r="F6" s="4">
        <f>SUMIFS(Gastos!$E$2:$E$8,Gastos!$B$2:$B$8,A6,Gastos!$C$2:$C$8,B6,Gastos!$D$2:$D$8,"comprometido")</f>
        <v/>
      </c>
      <c r="G6" s="4">
        <f>SUMIFS(Gastos!$E$2:$E$8,Gastos!$B$2:$B$8,A6,Gastos!$C$2:$C$8,B6,Gastos!$D$2:$D$8,"real")</f>
        <v/>
      </c>
      <c r="H6" s="4">
        <f>E6-F6-G6</f>
        <v/>
      </c>
      <c r="I6" s="5">
        <f>IFERROR((F6+G6)/E6,0)</f>
        <v/>
      </c>
      <c r="J6" s="9" t="n"/>
      <c r="K6" s="4">
        <f>IF(J6="",MAX(E6,F6+G6),F6+G6+J6)</f>
        <v/>
      </c>
      <c r="L6" s="4">
        <f>E6-K6</f>
        <v/>
      </c>
    </row>
    <row r="7">
      <c r="A7" s="3" t="inlineStr">
        <is>
          <t>sp1</t>
        </is>
      </c>
      <c r="B7" s="3" t="inlineStr">
        <is>
          <t>RRHH</t>
        </is>
      </c>
      <c r="C7" s="4">
        <f>SUMIFS(Presupuesto!$D$2:$D$8,Presupuesto!$A$2:$A$8,A7,Presupuesto!$B$2:$B$8,B7)</f>
        <v/>
      </c>
      <c r="D7" s="4">
        <f>SUMIFS(Modificaciones!$G$2:$G$7,Modificaciones!$E$2:$E$7,A7,Modificaciones!$F$2:$F$7,B7)</f>
        <v/>
      </c>
      <c r="E7" s="4">
        <f>C7+D7</f>
        <v/>
      </c>
      <c r="F7" s="4">
        <f>SUMIFS(Gastos!$E$2:$E$8,Gastos!$B$2:$B$8,A7,Gastos!$C$2:$C$8,B7,Gastos!$D$2:$D$8,"comprometido")</f>
        <v/>
      </c>
      <c r="G7" s="4">
        <f>SUMIFS(Gastos!$E$2:$E$8,Gastos!$B$2:$B$8,A7,Gastos!$C$2:$C$8,B7,Gastos!$D$2:$D$8,"real")</f>
        <v/>
      </c>
      <c r="H7" s="4">
        <f>E7-F7-G7</f>
        <v/>
      </c>
      <c r="I7" s="5">
        <f>IFERROR((F7+G7)/E7,0)</f>
        <v/>
      </c>
      <c r="J7" s="9" t="n"/>
      <c r="K7" s="4">
        <f>IF(J7="",MAX(E7,F7+G7),F7+G7+J7)</f>
        <v/>
      </c>
      <c r="L7" s="4">
        <f>E7-K7</f>
        <v/>
      </c>
    </row>
    <row r="8">
      <c r="A8" s="3" t="inlineStr">
        <is>
          <t>sp1</t>
        </is>
      </c>
      <c r="B8" s="3" t="inlineStr">
        <is>
          <t>CONTINGENCIA</t>
        </is>
      </c>
      <c r="C8" s="4">
        <f>SUMIFS(Presupuesto!$D$2:$D$8,Presupuesto!$A$2:$A$8,A8,Presupuesto!$B$2:$B$8,B8)</f>
        <v/>
      </c>
      <c r="D8" s="4">
        <f>SUMIFS(Modificaciones!$G$2:$G$7,Modificaciones!$E$2:$E$7,A8,Modificaciones!$F$2:$F$7,B8)</f>
        <v/>
      </c>
      <c r="E8" s="4">
        <f>C8+D8</f>
        <v/>
      </c>
      <c r="F8" s="4">
        <f>SUMIFS(Gastos!$E$2:$E$8,Gastos!$B$2:$B$8,A8,Gastos!$C$2:$C$8,B8,Gastos!$D$2:$D$8,"comprometido")</f>
        <v/>
      </c>
      <c r="G8" s="4">
        <f>SUMIFS(Gastos!$E$2:$E$8,Gastos!$B$2:$B$8,A8,Gastos!$C$2:$C$8,B8,Gastos!$D$2:$D$8,"real")</f>
        <v/>
      </c>
      <c r="H8" s="4">
        <f>E8-F8-G8</f>
        <v/>
      </c>
      <c r="I8" s="5">
        <f>IFERROR((F8+G8)/E8,0)</f>
        <v/>
      </c>
      <c r="J8" s="9" t="n"/>
      <c r="K8" s="4">
        <f>F8+G8</f>
        <v/>
      </c>
      <c r="L8" s="4">
        <f>E8-K8</f>
        <v/>
      </c>
    </row>
    <row r="9">
      <c r="A9" s="3" t="inlineStr">
        <is>
          <t>sp2</t>
        </is>
      </c>
      <c r="B9" s="3" t="inlineStr">
        <is>
          <t>EQUIPOS</t>
        </is>
      </c>
      <c r="C9" s="4">
        <f>SUMIFS(Presupuesto!$D$2:$D$8,Presupuesto!$A$2:$A$8,A9,Presupuesto!$B$2:$B$8,B9)</f>
        <v/>
      </c>
      <c r="D9" s="4">
        <f>SUMIFS(Modificaciones!$G$2:$G$7,Modificaciones!$E$2:$E$7,A9,Modificaciones!$F$2:$F$7,B9)</f>
        <v/>
      </c>
      <c r="E9" s="4">
        <f>C9+D9</f>
        <v/>
      </c>
      <c r="F9" s="4">
        <f>SUMIFS(Gastos!$E$2:$E$8,Gastos!$B$2:$B$8,A9,Gastos!$C$2:$C$8,B9,Gastos!$D$2:$D$8,"comprometido")</f>
        <v/>
      </c>
      <c r="G9" s="4">
        <f>SUMIFS(Gastos!$E$2:$E$8,Gastos!$B$2:$B$8,A9,Gastos!$C$2:$C$8,B9,Gastos!$D$2:$D$8,"real")</f>
        <v/>
      </c>
      <c r="H9" s="4">
        <f>E9-F9-G9</f>
        <v/>
      </c>
      <c r="I9" s="5">
        <f>IFERROR((F9+G9)/E9,0)</f>
        <v/>
      </c>
      <c r="J9" s="9" t="n"/>
      <c r="K9" s="4">
        <f>IF(J9="",MAX(E9,F9+G9),F9+G9+J9)</f>
        <v/>
      </c>
      <c r="L9" s="4">
        <f>E9-K9</f>
        <v/>
      </c>
    </row>
    <row r="10">
      <c r="A10" s="3" t="inlineStr">
        <is>
          <t>sp2</t>
        </is>
      </c>
      <c r="B10" s="3" t="inlineStr">
        <is>
          <t>RRHH</t>
        </is>
      </c>
      <c r="C10" s="4">
        <f>SUMIFS(Presupuesto!$D$2:$D$8,Presupuesto!$A$2:$A$8,A10,Presupuesto!$B$2:$B$8,B10)</f>
        <v/>
      </c>
      <c r="D10" s="4">
        <f>SUMIFS(Modificaciones!$G$2:$G$7,Modificaciones!$E$2:$E$7,A10,Modificaciones!$F$2:$F$7,B10)</f>
        <v/>
      </c>
      <c r="E10" s="4">
        <f>C10+D10</f>
        <v/>
      </c>
      <c r="F10" s="4">
        <f>SUMIFS(Gastos!$E$2:$E$8,Gastos!$B$2:$B$8,A10,Gastos!$C$2:$C$8,B10,Gastos!$D$2:$D$8,"comprometido")</f>
        <v/>
      </c>
      <c r="G10" s="4">
        <f>SUMIFS(Gastos!$E$2:$E$8,Gastos!$B$2:$B$8,A10,Gastos!$C$2:$C$8,B10,Gastos!$D$2:$D$8,"real")</f>
        <v/>
      </c>
      <c r="H10" s="4">
        <f>E10-F10-G10</f>
        <v/>
      </c>
      <c r="I10" s="5">
        <f>IFERROR((F10+G10)/E10,0)</f>
        <v/>
      </c>
      <c r="J10" s="9" t="n">
        <v>110000000</v>
      </c>
      <c r="K10" s="4">
        <f>IF(J10="",MAX(E10,F10+G10),F10+G10+J10)</f>
        <v/>
      </c>
      <c r="L10" s="4">
        <f>E10-K10</f>
        <v/>
      </c>
    </row>
    <row r="11">
      <c r="A11" s="3" t="inlineStr">
        <is>
          <t>sp3</t>
        </is>
      </c>
      <c r="B11" s="3" t="inlineStr">
        <is>
          <t>RRHH</t>
        </is>
      </c>
      <c r="C11" s="4">
        <f>SUMIFS(Presupuesto!$D$2:$D$8,Presupuesto!$A$2:$A$8,A11,Presupuesto!$B$2:$B$8,B11)</f>
        <v/>
      </c>
      <c r="D11" s="4">
        <f>SUMIFS(Modificaciones!$G$2:$G$7,Modificaciones!$E$2:$E$7,A11,Modificaciones!$F$2:$F$7,B11)</f>
        <v/>
      </c>
      <c r="E11" s="4">
        <f>C11+D11</f>
        <v/>
      </c>
      <c r="F11" s="4">
        <f>SUMIFS(Gastos!$E$2:$E$8,Gastos!$B$2:$B$8,A11,Gastos!$C$2:$C$8,B11,Gastos!$D$2:$D$8,"comprometido")</f>
        <v/>
      </c>
      <c r="G11" s="4">
        <f>SUMIFS(Gastos!$E$2:$E$8,Gastos!$B$2:$B$8,A11,Gastos!$C$2:$C$8,B11,Gastos!$D$2:$D$8,"real")</f>
        <v/>
      </c>
      <c r="H11" s="4">
        <f>E11-F11-G11</f>
        <v/>
      </c>
      <c r="I11" s="5">
        <f>IFERROR((F11+G11)/E11,0)</f>
        <v/>
      </c>
      <c r="J11" s="9" t="n"/>
      <c r="K11" s="4">
        <f>IF(J11="",MAX(E11,F11+G11),F11+G11+J11)</f>
        <v/>
      </c>
      <c r="L11" s="4">
        <f>E11-K11</f>
        <v/>
      </c>
    </row>
    <row r="12">
      <c r="A12" s="3" t="inlineStr">
        <is>
          <t>sp3</t>
        </is>
      </c>
      <c r="B12" s="3" t="inlineStr">
        <is>
          <t>CONTINGENCIA</t>
        </is>
      </c>
      <c r="C12" s="4">
        <f>SUMIFS(Presupuesto!$D$2:$D$8,Presupuesto!$A$2:$A$8,A12,Presupuesto!$B$2:$B$8,B12)</f>
        <v/>
      </c>
      <c r="D12" s="4">
        <f>SUMIFS(Modificaciones!$G$2:$G$7,Modificaciones!$E$2:$E$7,A12,Modificaciones!$F$2:$F$7,B12)</f>
        <v/>
      </c>
      <c r="E12" s="4">
        <f>C12+D12</f>
        <v/>
      </c>
      <c r="F12" s="4">
        <f>SUMIFS(Gastos!$E$2:$E$8,Gastos!$B$2:$B$8,A12,Gastos!$C$2:$C$8,B12,Gastos!$D$2:$D$8,"comprometido")</f>
        <v/>
      </c>
      <c r="G12" s="4">
        <f>SUMIFS(Gastos!$E$2:$E$8,Gastos!$B$2:$B$8,A12,Gastos!$C$2:$C$8,B12,Gastos!$D$2:$D$8,"real")</f>
        <v/>
      </c>
      <c r="H12" s="4">
        <f>E12-F12-G12</f>
        <v/>
      </c>
      <c r="I12" s="5">
        <f>IFERROR((F12+G12)/E12,0)</f>
        <v/>
      </c>
      <c r="J12" s="9" t="n"/>
      <c r="K12" s="4">
        <f>F12+G12</f>
        <v/>
      </c>
      <c r="L12" s="4">
        <f>E12-K12</f>
        <v/>
      </c>
    </row>
  </sheetData>
  <conditionalFormatting sqref="H4:H12">
    <cfRule type="cellIs" priority="1" operator="lessThan" dxfId="0">
      <formula>0</formula>
    </cfRule>
  </conditionalFormatting>
  <conditionalFormatting sqref="L4:L12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</cols>
  <sheetData>
    <row r="1">
      <c r="A1" s="2" t="inlineStr">
        <is>
          <t>subproyecto</t>
        </is>
      </c>
      <c r="B1" s="2" t="inlineStr">
        <is>
          <t>cuenta</t>
        </is>
      </c>
      <c r="C1" s="2" t="inlineStr">
        <is>
          <t>descripcion</t>
        </is>
      </c>
      <c r="D1" s="2" t="inlineStr">
        <is>
          <t>monto_base</t>
        </is>
      </c>
      <c r="E1" s="2" t="inlineStr">
        <is>
          <t>documento</t>
        </is>
      </c>
    </row>
    <row r="2">
      <c r="A2" s="3" t="inlineStr">
        <is>
          <t>PROGRAMA</t>
        </is>
      </c>
      <c r="B2" s="3" t="inlineStr">
        <is>
          <t>GESTION</t>
        </is>
      </c>
      <c r="C2" s="3" t="inlineStr">
        <is>
          <t>Oficina del programa</t>
        </is>
      </c>
      <c r="D2" s="4" t="n">
        <v>40000000</v>
      </c>
      <c r="E2" s="3" t="inlineStr">
        <is>
          <t>C00</t>
        </is>
      </c>
    </row>
    <row r="3">
      <c r="A3" s="3" t="inlineStr">
        <is>
          <t>PROGRAMA</t>
        </is>
      </c>
      <c r="B3" s="3" t="inlineStr">
        <is>
          <t>CONTINGENCIA</t>
        </is>
      </c>
      <c r="C3" s="3" t="inlineStr">
        <is>
          <t>Contingencia del programa</t>
        </is>
      </c>
      <c r="D3" s="4" t="n">
        <v>60000000</v>
      </c>
      <c r="E3" s="3" t="inlineStr">
        <is>
          <t>C00</t>
        </is>
      </c>
    </row>
    <row r="4">
      <c r="A4" s="3" t="inlineStr">
        <is>
          <t>sp1</t>
        </is>
      </c>
      <c r="B4" s="3" t="inlineStr">
        <is>
          <t>RRHH</t>
        </is>
      </c>
      <c r="C4" s="3" t="inlineStr">
        <is>
          <t>Consultores ERP</t>
        </is>
      </c>
      <c r="D4" s="4" t="n">
        <v>300000000</v>
      </c>
      <c r="E4" s="3" t="inlineStr">
        <is>
          <t>C00</t>
        </is>
      </c>
    </row>
    <row r="5">
      <c r="A5" s="3" t="inlineStr">
        <is>
          <t>sp1</t>
        </is>
      </c>
      <c r="B5" s="3" t="inlineStr">
        <is>
          <t>LICENCIAS</t>
        </is>
      </c>
      <c r="C5" s="3" t="inlineStr">
        <is>
          <t>Licencias ERP</t>
        </is>
      </c>
      <c r="D5" s="4" t="n">
        <v>150000000</v>
      </c>
      <c r="E5" s="3" t="inlineStr">
        <is>
          <t>C00</t>
        </is>
      </c>
    </row>
    <row r="6">
      <c r="A6" s="3" t="inlineStr">
        <is>
          <t>sp1</t>
        </is>
      </c>
      <c r="B6" s="3" t="inlineStr">
        <is>
          <t>CONTINGENCIA</t>
        </is>
      </c>
      <c r="C6" s="3" t="inlineStr">
        <is>
          <t>Contingencia ERP</t>
        </is>
      </c>
      <c r="D6" s="4" t="n">
        <v>30000000</v>
      </c>
      <c r="E6" s="3" t="inlineStr">
        <is>
          <t>C00</t>
        </is>
      </c>
    </row>
    <row r="7">
      <c r="A7" s="3" t="inlineStr">
        <is>
          <t>sp2</t>
        </is>
      </c>
      <c r="B7" s="3" t="inlineStr">
        <is>
          <t>RRHH</t>
        </is>
      </c>
      <c r="C7" s="3" t="inlineStr">
        <is>
          <t>Desarrollo de la app</t>
        </is>
      </c>
      <c r="D7" s="4" t="n">
        <v>250000000</v>
      </c>
      <c r="E7" s="3" t="inlineStr">
        <is>
          <t>C00</t>
        </is>
      </c>
    </row>
    <row r="8">
      <c r="A8" s="3" t="inlineStr">
        <is>
          <t>sp2</t>
        </is>
      </c>
      <c r="B8" s="3" t="inlineStr">
        <is>
          <t>EQUIPOS</t>
        </is>
      </c>
      <c r="C8" s="3" t="inlineStr">
        <is>
          <t>Dispositivos para choferes</t>
        </is>
      </c>
      <c r="D8" s="4" t="n">
        <v>60000000</v>
      </c>
      <c r="E8" s="3" t="inlineStr">
        <is>
          <t>C00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documento</t>
        </is>
      </c>
      <c r="E1" s="2" t="inlineStr">
        <is>
          <t>subproyecto</t>
        </is>
      </c>
      <c r="F1" s="2" t="inlineStr">
        <is>
          <t>cuenta</t>
        </is>
      </c>
      <c r="G1" s="2" t="inlineStr">
        <is>
          <t>monto</t>
        </is>
      </c>
      <c r="H1" s="2" t="inlineStr">
        <is>
          <t>motivo</t>
        </is>
      </c>
      <c r="I1" s="2" t="inlineStr">
        <is>
          <t>aprobado_por</t>
        </is>
      </c>
    </row>
    <row r="2">
      <c r="A2" s="3" t="inlineStr">
        <is>
          <t>M-01</t>
        </is>
      </c>
      <c r="B2" s="3" t="inlineStr">
        <is>
          <t>2026-08-20</t>
        </is>
      </c>
      <c r="C2" s="3" t="inlineStr">
        <is>
          <t>enmienda</t>
        </is>
      </c>
      <c r="D2" s="3" t="inlineStr">
        <is>
          <t>E01</t>
        </is>
      </c>
      <c r="E2" s="3" t="inlineStr">
        <is>
          <t>sp3</t>
        </is>
      </c>
      <c r="F2" s="3" t="inlineStr">
        <is>
          <t>RRHH</t>
        </is>
      </c>
      <c r="G2" s="4" t="n">
        <v>180000000</v>
      </c>
      <c r="H2" s="3" t="inlineStr">
        <is>
          <t>Incorpora el Portal de clientes</t>
        </is>
      </c>
      <c r="I2" s="3" t="inlineStr">
        <is>
          <t>Partes (E01)</t>
        </is>
      </c>
    </row>
    <row r="3">
      <c r="A3" s="3" t="inlineStr">
        <is>
          <t>M-02</t>
        </is>
      </c>
      <c r="B3" s="3" t="inlineStr">
        <is>
          <t>2026-08-20</t>
        </is>
      </c>
      <c r="C3" s="3" t="inlineStr">
        <is>
          <t>enmienda</t>
        </is>
      </c>
      <c r="D3" s="3" t="inlineStr">
        <is>
          <t>E01</t>
        </is>
      </c>
      <c r="E3" s="3" t="inlineStr">
        <is>
          <t>sp3</t>
        </is>
      </c>
      <c r="F3" s="3" t="inlineStr">
        <is>
          <t>CONTINGENCIA</t>
        </is>
      </c>
      <c r="G3" s="4" t="n">
        <v>20000000</v>
      </c>
      <c r="H3" s="3" t="inlineStr">
        <is>
          <t>Contingencia del Portal</t>
        </is>
      </c>
      <c r="I3" s="3" t="inlineStr">
        <is>
          <t>Partes (E01)</t>
        </is>
      </c>
    </row>
    <row r="4">
      <c r="A4" s="3" t="inlineStr">
        <is>
          <t>M-03</t>
        </is>
      </c>
      <c r="B4" s="3" t="inlineStr">
        <is>
          <t>2026-09-10</t>
        </is>
      </c>
      <c r="C4" s="3" t="inlineStr">
        <is>
          <t>contingencia</t>
        </is>
      </c>
      <c r="D4" s="3" t="inlineStr">
        <is>
          <t>ACTA-05</t>
        </is>
      </c>
      <c r="E4" s="3" t="inlineStr">
        <is>
          <t>sp1</t>
        </is>
      </c>
      <c r="F4" s="3" t="inlineStr">
        <is>
          <t>CONTINGENCIA</t>
        </is>
      </c>
      <c r="G4" s="4" t="n">
        <v>-25000000</v>
      </c>
      <c r="H4" s="3" t="inlineStr">
        <is>
          <t>Migración de datos más compleja</t>
        </is>
      </c>
      <c r="I4" s="3" t="inlineStr">
        <is>
          <t>Comité</t>
        </is>
      </c>
    </row>
    <row r="5">
      <c r="A5" s="3" t="inlineStr">
        <is>
          <t>M-03</t>
        </is>
      </c>
      <c r="B5" s="3" t="inlineStr">
        <is>
          <t>2026-09-10</t>
        </is>
      </c>
      <c r="C5" s="3" t="inlineStr">
        <is>
          <t>contingencia</t>
        </is>
      </c>
      <c r="D5" s="3" t="inlineStr">
        <is>
          <t>ACTA-05</t>
        </is>
      </c>
      <c r="E5" s="3" t="inlineStr">
        <is>
          <t>sp1</t>
        </is>
      </c>
      <c r="F5" s="3" t="inlineStr">
        <is>
          <t>RRHH</t>
        </is>
      </c>
      <c r="G5" s="4" t="n">
        <v>25000000</v>
      </c>
      <c r="H5" s="3" t="inlineStr">
        <is>
          <t>Migración de datos más compleja</t>
        </is>
      </c>
      <c r="I5" s="3" t="inlineStr">
        <is>
          <t>Comité</t>
        </is>
      </c>
    </row>
    <row r="6">
      <c r="A6" s="3" t="inlineStr">
        <is>
          <t>M-04</t>
        </is>
      </c>
      <c r="B6" s="3" t="inlineStr">
        <is>
          <t>2026-09-15</t>
        </is>
      </c>
      <c r="C6" s="3" t="inlineStr">
        <is>
          <t>contingencia</t>
        </is>
      </c>
      <c r="D6" s="3" t="inlineStr">
        <is>
          <t>ACTA-06</t>
        </is>
      </c>
      <c r="E6" s="3" t="inlineStr">
        <is>
          <t>PROGRAMA</t>
        </is>
      </c>
      <c r="F6" s="3" t="inlineStr">
        <is>
          <t>CONTINGENCIA</t>
        </is>
      </c>
      <c r="G6" s="4" t="n">
        <v>-40000000</v>
      </c>
      <c r="H6" s="3" t="inlineStr">
        <is>
          <t>Refuerzo del equipo de la app</t>
        </is>
      </c>
      <c r="I6" s="3" t="inlineStr">
        <is>
          <t>Comité</t>
        </is>
      </c>
    </row>
    <row r="7">
      <c r="A7" s="3" t="inlineStr">
        <is>
          <t>M-04</t>
        </is>
      </c>
      <c r="B7" s="3" t="inlineStr">
        <is>
          <t>2026-09-15</t>
        </is>
      </c>
      <c r="C7" s="3" t="inlineStr">
        <is>
          <t>contingencia</t>
        </is>
      </c>
      <c r="D7" s="3" t="inlineStr">
        <is>
          <t>ACTA-06</t>
        </is>
      </c>
      <c r="E7" s="3" t="inlineStr">
        <is>
          <t>sp2</t>
        </is>
      </c>
      <c r="F7" s="3" t="inlineStr">
        <is>
          <t>RRHH</t>
        </is>
      </c>
      <c r="G7" s="4" t="n">
        <v>40000000</v>
      </c>
      <c r="H7" s="3" t="inlineStr">
        <is>
          <t>Refuerzo del equipo de la app</t>
        </is>
      </c>
      <c r="I7" s="3" t="inlineStr">
        <is>
          <t>Comité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>
      <c r="A1" s="2" t="inlineStr">
        <is>
          <t>fecha</t>
        </is>
      </c>
      <c r="B1" s="2" t="inlineStr">
        <is>
          <t>subproyecto</t>
        </is>
      </c>
      <c r="C1" s="2" t="inlineStr">
        <is>
          <t>cuenta</t>
        </is>
      </c>
      <c r="D1" s="2" t="inlineStr">
        <is>
          <t>tipo</t>
        </is>
      </c>
      <c r="E1" s="2" t="inlineStr">
        <is>
          <t>monto</t>
        </is>
      </c>
      <c r="F1" s="2" t="inlineStr">
        <is>
          <t>documento</t>
        </is>
      </c>
      <c r="G1" s="2" t="inlineStr">
        <is>
          <t>proveedor</t>
        </is>
      </c>
      <c r="H1" s="2" t="inlineStr">
        <is>
          <t>descripcion</t>
        </is>
      </c>
    </row>
    <row r="2">
      <c r="A2" s="3" t="inlineStr">
        <is>
          <t>2026-06-30</t>
        </is>
      </c>
      <c r="B2" s="3" t="inlineStr">
        <is>
          <t>PROGRAMA</t>
        </is>
      </c>
      <c r="C2" s="3" t="inlineStr">
        <is>
          <t>GESTION</t>
        </is>
      </c>
      <c r="D2" s="3" t="inlineStr">
        <is>
          <t>real</t>
        </is>
      </c>
      <c r="E2" s="4" t="n">
        <v>15000000</v>
      </c>
      <c r="F2" s="3" t="inlineStr">
        <is>
          <t>F-100</t>
        </is>
      </c>
      <c r="G2" s="3" t="inlineStr">
        <is>
          <t>Consultora</t>
        </is>
      </c>
      <c r="H2" s="3" t="inlineStr">
        <is>
          <t>Oficina del programa jun-sep</t>
        </is>
      </c>
    </row>
    <row r="3">
      <c r="A3" s="3" t="inlineStr">
        <is>
          <t>2026-09-30</t>
        </is>
      </c>
      <c r="B3" s="3" t="inlineStr">
        <is>
          <t>sp1</t>
        </is>
      </c>
      <c r="C3" s="3" t="inlineStr">
        <is>
          <t>RRHH</t>
        </is>
      </c>
      <c r="D3" s="3" t="inlineStr">
        <is>
          <t>real</t>
        </is>
      </c>
      <c r="E3" s="4" t="n">
        <v>240000000</v>
      </c>
      <c r="F3" s="3" t="inlineStr">
        <is>
          <t>F-201</t>
        </is>
      </c>
      <c r="G3" s="3" t="inlineStr">
        <is>
          <t>Consultora</t>
        </is>
      </c>
      <c r="H3" s="3" t="inlineStr">
        <is>
          <t>Consultores ERP jun-sep</t>
        </is>
      </c>
    </row>
    <row r="4">
      <c r="A4" s="3" t="inlineStr">
        <is>
          <t>2026-07-15</t>
        </is>
      </c>
      <c r="B4" s="3" t="inlineStr">
        <is>
          <t>sp1</t>
        </is>
      </c>
      <c r="C4" s="3" t="inlineStr">
        <is>
          <t>LICENCIAS</t>
        </is>
      </c>
      <c r="D4" s="3" t="inlineStr">
        <is>
          <t>real</t>
        </is>
      </c>
      <c r="E4" s="4" t="n">
        <v>150000000</v>
      </c>
      <c r="F4" s="3" t="inlineStr">
        <is>
          <t>F-202</t>
        </is>
      </c>
      <c r="G4" s="3" t="inlineStr">
        <is>
          <t>Proveedor ERP</t>
        </is>
      </c>
      <c r="H4" s="3" t="inlineStr">
        <is>
          <t>Licencias</t>
        </is>
      </c>
    </row>
    <row r="5">
      <c r="A5" s="3" t="inlineStr">
        <is>
          <t>2026-10-01</t>
        </is>
      </c>
      <c r="B5" s="3" t="inlineStr">
        <is>
          <t>sp1</t>
        </is>
      </c>
      <c r="C5" s="3" t="inlineStr">
        <is>
          <t>RRHH</t>
        </is>
      </c>
      <c r="D5" s="3" t="inlineStr">
        <is>
          <t>comprometido</t>
        </is>
      </c>
      <c r="E5" s="4" t="n">
        <v>70000000</v>
      </c>
      <c r="F5" s="3" t="inlineStr">
        <is>
          <t>OC-310</t>
        </is>
      </c>
      <c r="G5" s="3" t="inlineStr">
        <is>
          <t>Consultora</t>
        </is>
      </c>
      <c r="H5" s="3" t="inlineStr">
        <is>
          <t>Consultores ERP oct-ene</t>
        </is>
      </c>
    </row>
    <row r="6">
      <c r="A6" s="3" t="inlineStr">
        <is>
          <t>2026-09-30</t>
        </is>
      </c>
      <c r="B6" s="3" t="inlineStr">
        <is>
          <t>sp2</t>
        </is>
      </c>
      <c r="C6" s="3" t="inlineStr">
        <is>
          <t>RRHH</t>
        </is>
      </c>
      <c r="D6" s="3" t="inlineStr">
        <is>
          <t>real</t>
        </is>
      </c>
      <c r="E6" s="4" t="n">
        <v>200000000</v>
      </c>
      <c r="F6" s="3" t="inlineStr">
        <is>
          <t>F-301</t>
        </is>
      </c>
      <c r="G6" s="3" t="inlineStr">
        <is>
          <t>Consultora</t>
        </is>
      </c>
      <c r="H6" s="3" t="inlineStr">
        <is>
          <t>Desarrollo app jun-sep</t>
        </is>
      </c>
    </row>
    <row r="7">
      <c r="A7" s="3" t="inlineStr">
        <is>
          <t>2026-10-05</t>
        </is>
      </c>
      <c r="B7" s="3" t="inlineStr">
        <is>
          <t>sp2</t>
        </is>
      </c>
      <c r="C7" s="3" t="inlineStr">
        <is>
          <t>RRHH</t>
        </is>
      </c>
      <c r="D7" s="3" t="inlineStr">
        <is>
          <t>comprometido</t>
        </is>
      </c>
      <c r="E7" s="4" t="n">
        <v>60000000</v>
      </c>
      <c r="F7" s="3" t="inlineStr">
        <is>
          <t>OC-320</t>
        </is>
      </c>
      <c r="G7" s="3" t="inlineStr">
        <is>
          <t>Consultora</t>
        </is>
      </c>
      <c r="H7" s="3" t="inlineStr">
        <is>
          <t>Desarrollo app oct-nov</t>
        </is>
      </c>
    </row>
    <row r="8">
      <c r="A8" s="3" t="inlineStr">
        <is>
          <t>2026-09-30</t>
        </is>
      </c>
      <c r="B8" s="3" t="inlineStr">
        <is>
          <t>sp3</t>
        </is>
      </c>
      <c r="C8" s="3" t="inlineStr">
        <is>
          <t>RRHH</t>
        </is>
      </c>
      <c r="D8" s="3" t="inlineStr">
        <is>
          <t>real</t>
        </is>
      </c>
      <c r="E8" s="4" t="n">
        <v>20000000</v>
      </c>
      <c r="F8" s="3" t="inlineStr">
        <is>
          <t>F-401</t>
        </is>
      </c>
      <c r="G8" s="3" t="inlineStr">
        <is>
          <t>Consultora</t>
        </is>
      </c>
      <c r="H8" s="3" t="inlineStr">
        <is>
          <t>Diseño del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presupuestario Programa Logística Integrada</dc:title>
  <dc:creator>Ana Rivas</dc:creator>
  <cp:lastModifiedBy>Ana Rivas</cp:lastModifiedBy>
  <cp:revision>1</cp:revision>
  <dcterms:created xsi:type="dcterms:W3CDTF">2026-09-30T13:52:37Z</dcterms:created>
  <dcterms:modified xsi:type="dcterms:W3CDTF">2026-09-30T13:52:37Z</dcterms:modified>
</cp:coreProperties>
</file>