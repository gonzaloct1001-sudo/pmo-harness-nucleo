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en" sheetId="1" state="visible" r:id="rId3"/>
    <sheet name="Avance" sheetId="2" state="visible" r:id="rId4"/>
    <sheet name="Presupuest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4" authorId="0">
      <text>
        <r>
          <rPr>
            <sz val="10"/>
            <rFont val="Arial"/>
            <family val="2"/>
          </rPr>
          <t xml:space="preserve">Peso de cada subproyecto en el avance total. Definido al inicio del programa.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" authorId="0">
      <text>
        <r>
          <rPr>
            <sz val="10"/>
            <rFont val="Arial"/>
            <family val="2"/>
          </rPr>
          <t xml:space="preserve">Insumo manual: lo informa Control de Gestión cada mes.</t>
        </r>
      </text>
    </comment>
  </commentList>
</comments>
</file>

<file path=xl/sharedStrings.xml><?xml version="1.0" encoding="utf-8"?>
<sst xmlns="http://schemas.openxmlformats.org/spreadsheetml/2006/main" count="60" uniqueCount="48">
  <si>
    <t xml:space="preserve">PEP — Planilla de Estado del Programa Andes Digital (FICTICIO)</t>
  </si>
  <si>
    <t xml:space="preserve">Celdas en azul = datos de entrada. Celdas en negro = fórmulas (no editar).</t>
  </si>
  <si>
    <t xml:space="preserve">Período (AAAA-MM)</t>
  </si>
  <si>
    <t xml:space="preserve">2026-08</t>
  </si>
  <si>
    <t xml:space="preserve">Fecha de corte</t>
  </si>
  <si>
    <t xml:space="preserve">2026-08-31</t>
  </si>
  <si>
    <t xml:space="preserve">Estado general</t>
  </si>
  <si>
    <t xml:space="preserve">Amarillo</t>
  </si>
  <si>
    <t xml:space="preserve">Comentario del mes</t>
  </si>
  <si>
    <t xml:space="preserve">Atraso en configuración del ERP por plan de cuentas. Enmienda E01 firmada.</t>
  </si>
  <si>
    <t xml:space="preserve">Avance plan total</t>
  </si>
  <si>
    <t xml:space="preserve">Avance real total</t>
  </si>
  <si>
    <t xml:space="preserve">Desviación (pts)</t>
  </si>
  <si>
    <t xml:space="preserve">Presupuesto vigente (CLP)</t>
  </si>
  <si>
    <t xml:space="preserve">Gasto acumulado (CLP)</t>
  </si>
  <si>
    <t xml:space="preserve">% ejecución presupuestaria</t>
  </si>
  <si>
    <t xml:space="preserve">Avance por subproyecto</t>
  </si>
  <si>
    <t xml:space="preserve">Código</t>
  </si>
  <si>
    <t xml:space="preserve">Subproyecto</t>
  </si>
  <si>
    <t xml:space="preserve">Peso</t>
  </si>
  <si>
    <t xml:space="preserve">Avance plan</t>
  </si>
  <si>
    <t xml:space="preserve">Avance real</t>
  </si>
  <si>
    <t xml:space="preserve">Desviación</t>
  </si>
  <si>
    <t xml:space="preserve">Avance ponderado</t>
  </si>
  <si>
    <t xml:space="preserve">Estado</t>
  </si>
  <si>
    <t xml:space="preserve">Comentario</t>
  </si>
  <si>
    <t xml:space="preserve">SP0</t>
  </si>
  <si>
    <t xml:space="preserve">Gestión</t>
  </si>
  <si>
    <t xml:space="preserve">Se mide al cierre</t>
  </si>
  <si>
    <t xml:space="preserve">SP1</t>
  </si>
  <si>
    <t xml:space="preserve">ERP</t>
  </si>
  <si>
    <t xml:space="preserve">Atraso por plan de cuentas</t>
  </si>
  <si>
    <t xml:space="preserve">SP2</t>
  </si>
  <si>
    <t xml:space="preserve">App de despacho</t>
  </si>
  <si>
    <t xml:space="preserve">Desarrollo adelantado</t>
  </si>
  <si>
    <t xml:space="preserve">SP3</t>
  </si>
  <si>
    <t xml:space="preserve">Integración y BI</t>
  </si>
  <si>
    <t xml:space="preserve">Inicia en septiembre</t>
  </si>
  <si>
    <t xml:space="preserve">SP4</t>
  </si>
  <si>
    <t xml:space="preserve">Portal de clientes</t>
  </si>
  <si>
    <t xml:space="preserve">Incorporado por E01</t>
  </si>
  <si>
    <t xml:space="preserve">Total programa</t>
  </si>
  <si>
    <t xml:space="preserve">Ejecución presupuestaria (CLP)</t>
  </si>
  <si>
    <t xml:space="preserve">Presupuesto vigente</t>
  </si>
  <si>
    <t xml:space="preserve">Gasto acumulado</t>
  </si>
  <si>
    <t xml:space="preserve">% ejecución</t>
  </si>
  <si>
    <t xml:space="preserve">Saldo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</si>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</sst>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F4C5C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F4C5C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F4C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  <c r="C4" s="4" t="s">
        <v>3</v>
      </c>
    </row>
    <row r="5" customFormat="false" ht="15" hidden="false" customHeight="false" outlineLevel="0" collapsed="false">
      <c r="B5" s="3" t="s">
        <v>4</v>
      </c>
      <c r="C5" s="4" t="s">
        <v>5</v>
      </c>
    </row>
    <row r="6" customFormat="false" ht="15" hidden="false" customHeight="false" outlineLevel="0" collapsed="false">
      <c r="B6" s="3" t="s">
        <v>6</v>
      </c>
      <c r="C6" s="4" t="s">
        <v>7</v>
      </c>
    </row>
    <row r="7" customFormat="false" ht="15" hidden="false" customHeight="false" outlineLevel="0" collapsed="false">
      <c r="B7" s="3" t="s">
        <v>8</v>
      </c>
      <c r="C7" s="4" t="s">
        <v>9</v>
      </c>
    </row>
    <row r="9" customFormat="false" ht="15" hidden="false" customHeight="false" outlineLevel="0" collapsed="false">
      <c r="B9" s="3" t="s">
        <v>10</v>
      </c>
      <c r="C9" s="5" t="n">
        <f aca="false">Avance!D10</f>
        <v>0.274</v>
      </c>
    </row>
    <row r="10" customFormat="false" ht="15" hidden="false" customHeight="false" outlineLevel="0" collapsed="false">
      <c r="B10" s="3" t="s">
        <v>11</v>
      </c>
      <c r="C10" s="5" t="n">
        <f aca="false">Avance!E10</f>
        <v>0.2725</v>
      </c>
    </row>
    <row r="11" customFormat="false" ht="15" hidden="false" customHeight="false" outlineLevel="0" collapsed="false">
      <c r="B11" s="3" t="s">
        <v>12</v>
      </c>
      <c r="C11" s="5" t="n">
        <f aca="false">C10-C9</f>
        <v>-0.0015</v>
      </c>
    </row>
    <row r="13" customFormat="false" ht="15" hidden="false" customHeight="false" outlineLevel="0" collapsed="false">
      <c r="B13" s="3" t="s">
        <v>13</v>
      </c>
      <c r="C13" s="6" t="n">
        <f aca="false">Presupuesto!C10</f>
        <v>895000000</v>
      </c>
    </row>
    <row r="14" customFormat="false" ht="15" hidden="false" customHeight="false" outlineLevel="0" collapsed="false">
      <c r="B14" s="3" t="s">
        <v>14</v>
      </c>
      <c r="C14" s="6" t="n">
        <f aca="false">Presupuesto!D10</f>
        <v>267000000</v>
      </c>
    </row>
    <row r="15" customFormat="false" ht="15" hidden="false" customHeight="false" outlineLevel="0" collapsed="false">
      <c r="B15" s="3" t="s">
        <v>15</v>
      </c>
      <c r="C15" s="5" t="n">
        <f aca="false">IFERROR(C14/C13,0)</f>
        <v>0.298324022346369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9"/>
    <col collapsed="false" customWidth="true" hidden="false" outlineLevel="0" max="6" min="4" style="0" width="12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9" min="9" style="0" width="50"/>
  </cols>
  <sheetData>
    <row r="1" customFormat="false" ht="17.35" hidden="false" customHeight="false" outlineLevel="0" collapsed="false">
      <c r="A1" s="1" t="s">
        <v>16</v>
      </c>
    </row>
    <row r="4" customFormat="false" ht="15" hidden="false" customHeight="false" outlineLevel="0" collapsed="false">
      <c r="A4" s="7" t="s">
        <v>17</v>
      </c>
      <c r="B4" s="7" t="s">
        <v>18</v>
      </c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</row>
    <row r="5" customFormat="false" ht="15" hidden="false" customHeight="false" outlineLevel="0" collapsed="false">
      <c r="A5" s="8" t="s">
        <v>26</v>
      </c>
      <c r="B5" s="8" t="s">
        <v>27</v>
      </c>
      <c r="C5" s="9" t="n">
        <v>0.05</v>
      </c>
      <c r="D5" s="10" t="n">
        <v>0</v>
      </c>
      <c r="E5" s="10" t="n">
        <v>0</v>
      </c>
      <c r="F5" s="9" t="n">
        <f aca="false">E5-D5</f>
        <v>0</v>
      </c>
      <c r="G5" s="9" t="n">
        <f aca="false">C5*E5</f>
        <v>0</v>
      </c>
      <c r="H5" s="8" t="str">
        <f aca="false">IF(F5&lt;=-0.1,"Rojo",IF(F5&lt;=-0.05,"Amarillo","Verde"))</f>
        <v>Verde</v>
      </c>
      <c r="I5" s="11" t="s">
        <v>28</v>
      </c>
    </row>
    <row r="6" customFormat="false" ht="15" hidden="false" customHeight="false" outlineLevel="0" collapsed="false">
      <c r="A6" s="8" t="s">
        <v>29</v>
      </c>
      <c r="B6" s="8" t="s">
        <v>30</v>
      </c>
      <c r="C6" s="9" t="n">
        <v>0.4</v>
      </c>
      <c r="D6" s="10" t="n">
        <v>0.46</v>
      </c>
      <c r="E6" s="10" t="n">
        <v>0.4</v>
      </c>
      <c r="F6" s="9" t="n">
        <f aca="false">E6-D6</f>
        <v>-0.06</v>
      </c>
      <c r="G6" s="9" t="n">
        <f aca="false">C6*E6</f>
        <v>0.16</v>
      </c>
      <c r="H6" s="8" t="str">
        <f aca="false">IF(F6&lt;=-0.1,"Rojo",IF(F6&lt;=-0.05,"Amarillo","Verde"))</f>
        <v>Amarillo</v>
      </c>
      <c r="I6" s="11" t="s">
        <v>31</v>
      </c>
    </row>
    <row r="7" customFormat="false" ht="15" hidden="false" customHeight="false" outlineLevel="0" collapsed="false">
      <c r="A7" s="8" t="s">
        <v>32</v>
      </c>
      <c r="B7" s="8" t="s">
        <v>33</v>
      </c>
      <c r="C7" s="9" t="n">
        <v>0.25</v>
      </c>
      <c r="D7" s="10" t="n">
        <v>0.36</v>
      </c>
      <c r="E7" s="10" t="n">
        <v>0.45</v>
      </c>
      <c r="F7" s="9" t="n">
        <f aca="false">E7-D7</f>
        <v>0.09</v>
      </c>
      <c r="G7" s="9" t="n">
        <f aca="false">C7*E7</f>
        <v>0.1125</v>
      </c>
      <c r="H7" s="8" t="str">
        <f aca="false">IF(F7&lt;=-0.1,"Rojo",IF(F7&lt;=-0.05,"Amarillo","Verde"))</f>
        <v>Verde</v>
      </c>
      <c r="I7" s="11" t="s">
        <v>34</v>
      </c>
    </row>
    <row r="8" customFormat="false" ht="15" hidden="false" customHeight="false" outlineLevel="0" collapsed="false">
      <c r="A8" s="8" t="s">
        <v>35</v>
      </c>
      <c r="B8" s="8" t="s">
        <v>36</v>
      </c>
      <c r="C8" s="9" t="n">
        <v>0.2</v>
      </c>
      <c r="D8" s="10" t="n">
        <v>0</v>
      </c>
      <c r="E8" s="10" t="n">
        <v>0</v>
      </c>
      <c r="F8" s="9" t="n">
        <f aca="false">E8-D8</f>
        <v>0</v>
      </c>
      <c r="G8" s="9" t="n">
        <f aca="false">C8*E8</f>
        <v>0</v>
      </c>
      <c r="H8" s="8" t="str">
        <f aca="false">IF(F8&lt;=-0.1,"Rojo",IF(F8&lt;=-0.05,"Amarillo","Verde"))</f>
        <v>Verde</v>
      </c>
      <c r="I8" s="11" t="s">
        <v>37</v>
      </c>
    </row>
    <row r="9" customFormat="false" ht="15" hidden="false" customHeight="false" outlineLevel="0" collapsed="false">
      <c r="A9" s="8" t="s">
        <v>38</v>
      </c>
      <c r="B9" s="8" t="s">
        <v>39</v>
      </c>
      <c r="C9" s="9" t="n">
        <v>0.1</v>
      </c>
      <c r="D9" s="10" t="n">
        <v>0</v>
      </c>
      <c r="E9" s="10" t="n">
        <v>0</v>
      </c>
      <c r="F9" s="9" t="n">
        <f aca="false">E9-D9</f>
        <v>0</v>
      </c>
      <c r="G9" s="9" t="n">
        <f aca="false">C9*E9</f>
        <v>0</v>
      </c>
      <c r="H9" s="8" t="str">
        <f aca="false">IF(F9&lt;=-0.1,"Rojo",IF(F9&lt;=-0.05,"Amarillo","Verde"))</f>
        <v>Verde</v>
      </c>
      <c r="I9" s="11" t="s">
        <v>40</v>
      </c>
    </row>
    <row r="10" customFormat="false" ht="15" hidden="false" customHeight="false" outlineLevel="0" collapsed="false">
      <c r="B10" s="3" t="s">
        <v>41</v>
      </c>
      <c r="C10" s="12" t="n">
        <f aca="false">SUM(C5:C9)</f>
        <v>1</v>
      </c>
      <c r="D10" s="12" t="n">
        <f aca="false">SUMPRODUCT(C5:C9,D5:D9)</f>
        <v>0.274</v>
      </c>
      <c r="E10" s="12" t="n">
        <f aca="false">SUMPRODUCT(C5:C9,E5:E9)</f>
        <v>0.2725</v>
      </c>
      <c r="F10" s="12" t="n">
        <f aca="false">E10-D10</f>
        <v>-0.0015</v>
      </c>
      <c r="G10" s="12" t="n">
        <f aca="false">SUM(G5:G9)</f>
        <v>0.2725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18"/>
  </cols>
  <sheetData>
    <row r="1" customFormat="false" ht="17.35" hidden="false" customHeight="false" outlineLevel="0" collapsed="false">
      <c r="A1" s="1" t="s">
        <v>42</v>
      </c>
    </row>
    <row r="4" customFormat="false" ht="15" hidden="false" customHeight="false" outlineLevel="0" collapsed="false">
      <c r="A4" s="13" t="s">
        <v>17</v>
      </c>
      <c r="B4" s="13" t="s">
        <v>18</v>
      </c>
      <c r="C4" s="13" t="s">
        <v>43</v>
      </c>
      <c r="D4" s="13" t="s">
        <v>44</v>
      </c>
      <c r="E4" s="13" t="s">
        <v>45</v>
      </c>
      <c r="F4" s="13" t="s">
        <v>46</v>
      </c>
    </row>
    <row r="5" customFormat="false" ht="15" hidden="false" customHeight="false" outlineLevel="0" collapsed="false">
      <c r="A5" s="14" t="s">
        <v>26</v>
      </c>
      <c r="B5" s="14" t="s">
        <v>27</v>
      </c>
      <c r="C5" s="14" t="n">
        <v>45000000</v>
      </c>
      <c r="D5" s="15" t="n">
        <v>12000000</v>
      </c>
      <c r="E5" s="9" t="n">
        <f aca="false">IFERROR(D5/C5,0)</f>
        <v>0.266666666666667</v>
      </c>
      <c r="F5" s="14" t="n">
        <f aca="false">C5-D5</f>
        <v>33000000</v>
      </c>
    </row>
    <row r="6" customFormat="false" ht="15" hidden="false" customHeight="false" outlineLevel="0" collapsed="false">
      <c r="A6" s="14" t="s">
        <v>29</v>
      </c>
      <c r="B6" s="14" t="s">
        <v>30</v>
      </c>
      <c r="C6" s="14" t="n">
        <v>360000000</v>
      </c>
      <c r="D6" s="15" t="n">
        <v>150000000</v>
      </c>
      <c r="E6" s="9" t="n">
        <f aca="false">IFERROR(D6/C6,0)</f>
        <v>0.416666666666667</v>
      </c>
      <c r="F6" s="14" t="n">
        <f aca="false">C6-D6</f>
        <v>210000000</v>
      </c>
    </row>
    <row r="7" customFormat="false" ht="15" hidden="false" customHeight="false" outlineLevel="0" collapsed="false">
      <c r="A7" s="14" t="s">
        <v>32</v>
      </c>
      <c r="B7" s="14" t="s">
        <v>33</v>
      </c>
      <c r="C7" s="14" t="n">
        <v>220000000</v>
      </c>
      <c r="D7" s="15" t="n">
        <v>95000000</v>
      </c>
      <c r="E7" s="9" t="n">
        <f aca="false">IFERROR(D7/C7,0)</f>
        <v>0.431818181818182</v>
      </c>
      <c r="F7" s="14" t="n">
        <f aca="false">C7-D7</f>
        <v>125000000</v>
      </c>
    </row>
    <row r="8" customFormat="false" ht="15" hidden="false" customHeight="false" outlineLevel="0" collapsed="false">
      <c r="A8" s="14" t="s">
        <v>35</v>
      </c>
      <c r="B8" s="14" t="s">
        <v>36</v>
      </c>
      <c r="C8" s="14" t="n">
        <v>180000000</v>
      </c>
      <c r="D8" s="15" t="n">
        <v>10000000</v>
      </c>
      <c r="E8" s="9" t="n">
        <f aca="false">IFERROR(D8/C8,0)</f>
        <v>0.0555555555555556</v>
      </c>
      <c r="F8" s="14" t="n">
        <f aca="false">C8-D8</f>
        <v>170000000</v>
      </c>
    </row>
    <row r="9" customFormat="false" ht="15" hidden="false" customHeight="false" outlineLevel="0" collapsed="false">
      <c r="A9" s="14" t="s">
        <v>38</v>
      </c>
      <c r="B9" s="14" t="s">
        <v>39</v>
      </c>
      <c r="C9" s="14" t="n">
        <v>90000000</v>
      </c>
      <c r="D9" s="15" t="n">
        <v>0</v>
      </c>
      <c r="E9" s="9" t="n">
        <f aca="false">IFERROR(D9/C9,0)</f>
        <v>0</v>
      </c>
      <c r="F9" s="14" t="n">
        <f aca="false">C9-D9</f>
        <v>90000000</v>
      </c>
    </row>
    <row r="10" customFormat="false" ht="15" hidden="false" customHeight="false" outlineLevel="0" collapsed="false">
      <c r="B10" s="3" t="s">
        <v>47</v>
      </c>
      <c r="C10" s="16" t="n">
        <f aca="false">SUM(C5:C9)</f>
        <v>895000000</v>
      </c>
      <c r="D10" s="16" t="n">
        <f aca="false">SUM(D5:D9)</f>
        <v>267000000</v>
      </c>
      <c r="E10" s="12" t="n">
        <f aca="false">IFERROR(D10/C10,0)</f>
        <v>0.298324022346369</v>
      </c>
      <c r="F10" s="16" t="n">
        <f aca="false">C10-D10</f>
        <v>628000000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2026-09-25T14:25:45Z</dcterms:created>
  <dc:creator>openpyxl</dc:creator>
  <dc:description/>
  <dc:language>en-US</dc:language>
  <cp:lastModifiedBy/>
  <dcterms:modified xsi:type="dcterms:W3CDTF">2026-09-25T14:25:45Z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